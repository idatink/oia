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<sst xmlns="http://schemas.openxmlformats.org/spreadsheetml/2006/main" count="60" uniqueCount="52">
  <si>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NAIA — Financial Model — Assumptions</t>
  </si>
  <si>
    <t xml:space="preserve">Commission-marketplace model: NAIA charges clinics a % of each completed booking (Airbnb-style take rate). Edit the blue cells; everything else calculates.</t>
  </si>
  <si>
    <t xml:space="preserve">REVENUE DRIVERS</t>
  </si>
  <si>
    <t xml:space="preserve">Average procedure value (£)</t>
  </si>
  <si>
    <t xml:space="preserve">Blended avg across procedures/destinations</t>
  </si>
  <si>
    <t xml:space="preserve">Commission / take rate (%)</t>
  </si>
  <si>
    <t xml:space="preserve">What NAIA charges the clinic per booking</t>
  </si>
  <si>
    <t xml:space="preserve">Revenue per booking (£)</t>
  </si>
  <si>
    <t xml:space="preserve">procedure value × take rate</t>
  </si>
  <si>
    <t xml:space="preserve">MARKETPLACE GROWTH</t>
  </si>
  <si>
    <t xml:space="preserve">Starting active clinics (month 1)</t>
  </si>
  <si>
    <t xml:space="preserve">New clinics added / month</t>
  </si>
  <si>
    <t xml:space="preserve">Linear supply growth (edit to model faster/slower)</t>
  </si>
  <si>
    <t xml:space="preserve">Bookings per clinic / month</t>
  </si>
  <si>
    <t xml:space="preserve">Avg completed bookings each active clinic drives</t>
  </si>
  <si>
    <t xml:space="preserve">COSTS</t>
  </si>
  <si>
    <t xml:space="preserve">Variable ops cost / booking (£)</t>
  </si>
  <si>
    <t xml:space="preserve">Payment fees + coordination per booking</t>
  </si>
  <si>
    <t xml:space="preserve">Customer acquisition cost / booking (£)</t>
  </si>
  <si>
    <t xml:space="preserve">Marketing spend to generate one booking</t>
  </si>
  <si>
    <t xml:space="preserve">Fixed opex / month — Year 1 (£)</t>
  </si>
  <si>
    <t xml:space="preserve">Team, tools, overhead</t>
  </si>
  <si>
    <t xml:space="preserve">Fixed opex / month — Year 2 (£)</t>
  </si>
  <si>
    <t xml:space="preserve">Fixed opex / month — Year 3 (£)</t>
  </si>
  <si>
    <t xml:space="preserve">Contribution per booking (£)</t>
  </si>
  <si>
    <t xml:space="preserve">Contribution margin (%)</t>
  </si>
  <si>
    <t xml:space="preserve">Blue = editable input · Black = calculated. Model assumes clinics pay commission; patients are not charged a fee (change take rate to test).</t>
  </si>
  <si>
    <t xml:space="preserve">NAIA — 36-Month Projection</t>
  </si>
  <si>
    <t xml:space="preserve">Month</t>
  </si>
  <si>
    <t xml:space="preserve">Year</t>
  </si>
  <si>
    <t xml:space="preserve">Active clinics</t>
  </si>
  <si>
    <t xml:space="preserve">Bookings /clinic</t>
  </si>
  <si>
    <t xml:space="preserve">Total bookings</t>
  </si>
  <si>
    <t xml:space="preserve">Commission revenue (£)</t>
  </si>
  <si>
    <t xml:space="preserve">Ops cost (£)</t>
  </si>
  <si>
    <t xml:space="preserve">Marketing / CAC (£)</t>
  </si>
  <si>
    <t xml:space="preserve">Contribution (£)</t>
  </si>
  <si>
    <t xml:space="preserve">Fixed opex (£)</t>
  </si>
  <si>
    <t xml:space="preserve">Net profit (£)</t>
  </si>
  <si>
    <t xml:space="preserve">Cumulative net (£)</t>
  </si>
  <si>
    <t xml:space="preserve">1st-profit flag</t>
  </si>
  <si>
    <t xml:space="preserve">NAIA — Financial Summary</t>
  </si>
  <si>
    <t xml:space="preserve">Clinic-commission marketplace · £3,000 avg procedure @ 15% take · 3-year view</t>
  </si>
  <si>
    <t xml:space="preserve">Year 1</t>
  </si>
  <si>
    <t xml:space="preserve">Year 2</t>
  </si>
  <si>
    <t xml:space="preserve">Year 3</t>
  </si>
  <si>
    <t xml:space="preserve">3-yr total</t>
  </si>
  <si>
    <t xml:space="preserve">KEY METRICS</t>
  </si>
  <si>
    <t xml:space="preserve">Year-3 exit revenue run-rate (£/mo)</t>
  </si>
  <si>
    <t xml:space="preserve">First profitable month</t>
  </si>
  <si>
    <t xml:space="preserve">Peak cumulative cash need (£)</t>
  </si>
  <si>
    <t xml:space="preserve">Total bookings (3 yrs)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</si>
</sst>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0.0%"/>
    <numFmt numFmtId="167" formatCode="#,##0"/>
    <numFmt numFmtId="168" formatCode="0.0"/>
    <numFmt numFmtId="169" formatCode="0"/>
    <numFmt numFmtId="170" formatCode="\£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86446"/>
      <name val="Arial"/>
      <family val="0"/>
      <charset val="1"/>
    </font>
    <font>
      <i val="true"/>
      <sz val="9"/>
      <color rgb="FF6B67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2A2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B676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2A29"/>
      <name val="Arial"/>
      <family val="0"/>
      <charset val="1"/>
    </font>
    <font>
      <sz val="8"/>
      <color rgb="FF6B6763"/>
      <name val="Arial"/>
      <family val="0"/>
      <charset val="1"/>
    </font>
    <font>
      <sz val="10"/>
      <color rgb="FF2C2A29"/>
      <name val="Arial"/>
      <family val="0"/>
      <charset val="1"/>
    </font>
    <font>
      <b val="true"/>
      <sz val="11"/>
      <color rgb="FFC8644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86446"/>
        <bgColor rgb="FFC0504D"/>
      </patternFill>
    </fill>
    <fill>
      <patternFill patternType="solid">
        <fgColor rgb="FFF9F6F0"/>
        <bgColor rgb="FFFFF7E6"/>
      </patternFill>
    </fill>
    <fill>
      <patternFill patternType="solid">
        <fgColor rgb="FFFFF7E6"/>
        <bgColor rgb="FFF9F6F0"/>
      </patternFill>
    </fill>
    <fill>
      <patternFill patternType="solid">
        <fgColor rgb="FFFCECE5"/>
        <bgColor rgb="FFFFF7E6"/>
      </patternFill>
    </fill>
    <fill>
      <patternFill patternType="solid">
        <fgColor rgb="FF2C2A29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9"/>
      </left>
      <right style="thin">
        <color rgb="FFD9D2C9"/>
      </right>
      <top style="thin">
        <color rgb="FFD9D2C9"/>
      </top>
      <bottom style="thin">
        <color rgb="FFD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763"/>
      <rgbColor rgb="FF800080"/>
      <rgbColor rgb="FF008080"/>
      <rgbColor rgb="FFD9D2C9"/>
      <rgbColor rgb="FF878787"/>
      <rgbColor rgb="FF9999FF"/>
      <rgbColor rgb="FFBE4B48"/>
      <rgbColor rgb="FFFFF7E6"/>
      <rgbColor rgb="FFF9F6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CE5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C86446"/>
      <rgbColor rgb="FF8064A2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2C2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vs Net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Commission revenue (£)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Summary!$C$5:$C$7</c:f>
              <c:numCache>
                <c:formatCode>\£#,##0;"(£"#,##0\);\-</c:formatCode>
                <c:ptCount val="3"/>
                <c:pt idx="0">
                  <c:v>151200</c:v>
                </c:pt>
                <c:pt idx="1">
                  <c:v>410400</c:v>
                </c:pt>
                <c:pt idx="2">
                  <c:v>669600</c:v>
                </c:pt>
              </c:numCache>
            </c:numRef>
          </c:val>
        </c:ser>
        <c:ser>
          <c:idx val="1"/>
          <c:order val="1"/>
          <c:tx>
            <c:strRef>
              <c:f>Summary!D4</c:f>
              <c:strCache>
                <c:ptCount val="1"/>
                <c:pt idx="0">
                  <c:v>Contribution (£)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Summary!$D$5:$D$7</c:f>
              <c:numCache>
                <c:formatCode>\£#,##0;"(£"#,##0\);\-</c:formatCode>
                <c:ptCount val="3"/>
                <c:pt idx="0">
                  <c:v>80640</c:v>
                </c:pt>
                <c:pt idx="1">
                  <c:v>218880</c:v>
                </c:pt>
                <c:pt idx="2">
                  <c:v>357120</c:v>
                </c:pt>
              </c:numCache>
            </c:numRef>
          </c:val>
        </c:ser>
        <c:ser>
          <c:idx val="2"/>
          <c:order val="2"/>
          <c:tx>
            <c:strRef>
              <c:f>Summary!E4</c:f>
              <c:strCache>
                <c:ptCount val="1"/>
                <c:pt idx="0">
                  <c:v>Fixed opex (£)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Summary!$E$5:$E$7</c:f>
              <c:numCache>
                <c:formatCode>\£#,##0;"(£"#,##0\);\-</c:formatCode>
                <c:ptCount val="3"/>
                <c:pt idx="0">
                  <c:v>144000</c:v>
                </c:pt>
                <c:pt idx="1">
                  <c:v>264000</c:v>
                </c:pt>
                <c:pt idx="2">
                  <c:v>384000</c:v>
                </c:pt>
              </c:numCache>
            </c:numRef>
          </c:val>
        </c:ser>
        <c:ser>
          <c:idx val="3"/>
          <c:order val="3"/>
          <c:tx>
            <c:strRef>
              <c:f>Summary!F4</c:f>
              <c:strCache>
                <c:ptCount val="1"/>
                <c:pt idx="0">
                  <c:v>Net profit (£)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Summary!$F$5:$F$7</c:f>
              <c:numCache>
                <c:formatCode>\£#,##0;"(£"#,##0\);\-</c:formatCode>
                <c:ptCount val="3"/>
                <c:pt idx="0">
                  <c:v>-63360</c:v>
                </c:pt>
                <c:pt idx="1">
                  <c:v>-45120</c:v>
                </c:pt>
                <c:pt idx="2">
                  <c:v>-26880</c:v>
                </c:pt>
              </c:numCache>
            </c:numRef>
          </c:val>
        </c:ser>
        <c:gapWidth val="150"/>
        <c:overlap val="0"/>
        <c:axId val="57224511"/>
        <c:axId val="28074128"/>
      </c:barChart>
      <c:catAx>
        <c:axId val="5722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074128"/>
        <c:crosses val="autoZero"/>
        <c:auto val="1"/>
        <c:lblAlgn val="ctr"/>
        <c:lblOffset val="100"/>
        <c:noMultiLvlLbl val="0"/>
      </c:catAx>
      <c:valAx>
        <c:axId val="28074128"/>
        <c:scaling>
          <c:orientation val="minMax"/>
        </c:scaling>
        <c:delete val="0"/>
        <c:axPos val="l"/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245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revenue, contribution &amp; 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Model'!F3</c:f>
              <c:strCache>
                <c:ptCount val="1"/>
                <c:pt idx="0">
                  <c:v>Commission revenue (£)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'Monthly Model'!$F$4:$F$39</c:f>
              <c:numCache>
                <c:formatCode>\£#,##0;"(£"#,##0\);\-</c:formatCode>
                <c:ptCount val="36"/>
                <c:pt idx="0">
                  <c:v>2700</c:v>
                </c:pt>
                <c:pt idx="1">
                  <c:v>4500</c:v>
                </c:pt>
                <c:pt idx="2">
                  <c:v>6300</c:v>
                </c:pt>
                <c:pt idx="3">
                  <c:v>8100</c:v>
                </c:pt>
                <c:pt idx="4">
                  <c:v>9900</c:v>
                </c:pt>
                <c:pt idx="5">
                  <c:v>11700</c:v>
                </c:pt>
                <c:pt idx="6">
                  <c:v>13500</c:v>
                </c:pt>
                <c:pt idx="7">
                  <c:v>15300</c:v>
                </c:pt>
                <c:pt idx="8">
                  <c:v>17100</c:v>
                </c:pt>
                <c:pt idx="9">
                  <c:v>18900</c:v>
                </c:pt>
                <c:pt idx="10">
                  <c:v>20700</c:v>
                </c:pt>
                <c:pt idx="11">
                  <c:v>22500</c:v>
                </c:pt>
                <c:pt idx="12">
                  <c:v>24300</c:v>
                </c:pt>
                <c:pt idx="13">
                  <c:v>26100</c:v>
                </c:pt>
                <c:pt idx="14">
                  <c:v>27900</c:v>
                </c:pt>
                <c:pt idx="15">
                  <c:v>29700</c:v>
                </c:pt>
                <c:pt idx="16">
                  <c:v>31500</c:v>
                </c:pt>
                <c:pt idx="17">
                  <c:v>33300</c:v>
                </c:pt>
                <c:pt idx="18">
                  <c:v>35100</c:v>
                </c:pt>
                <c:pt idx="19">
                  <c:v>36900</c:v>
                </c:pt>
                <c:pt idx="20">
                  <c:v>38700</c:v>
                </c:pt>
                <c:pt idx="21">
                  <c:v>40500</c:v>
                </c:pt>
                <c:pt idx="22">
                  <c:v>42300</c:v>
                </c:pt>
                <c:pt idx="23">
                  <c:v>44100</c:v>
                </c:pt>
                <c:pt idx="24">
                  <c:v>45900</c:v>
                </c:pt>
                <c:pt idx="25">
                  <c:v>47700</c:v>
                </c:pt>
                <c:pt idx="26">
                  <c:v>49500</c:v>
                </c:pt>
                <c:pt idx="27">
                  <c:v>51300</c:v>
                </c:pt>
                <c:pt idx="28">
                  <c:v>53100</c:v>
                </c:pt>
                <c:pt idx="29">
                  <c:v>54900</c:v>
                </c:pt>
                <c:pt idx="30">
                  <c:v>56700</c:v>
                </c:pt>
                <c:pt idx="31">
                  <c:v>58500</c:v>
                </c:pt>
                <c:pt idx="32">
                  <c:v>60300</c:v>
                </c:pt>
                <c:pt idx="33">
                  <c:v>62100</c:v>
                </c:pt>
                <c:pt idx="34">
                  <c:v>63900</c:v>
                </c:pt>
                <c:pt idx="35">
                  <c:v>65700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Model'!I3</c:f>
              <c:strCache>
                <c:ptCount val="1"/>
                <c:pt idx="0">
                  <c:v>Contribution (£)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'Monthly Model'!$I$4:$I$39</c:f>
              <c:numCache>
                <c:formatCode>\£#,##0;"(£"#,##0\);\-</c:formatCode>
                <c:ptCount val="36"/>
                <c:pt idx="0">
                  <c:v>1440</c:v>
                </c:pt>
                <c:pt idx="1">
                  <c:v>2400</c:v>
                </c:pt>
                <c:pt idx="2">
                  <c:v>3360</c:v>
                </c:pt>
                <c:pt idx="3">
                  <c:v>4320</c:v>
                </c:pt>
                <c:pt idx="4">
                  <c:v>5280</c:v>
                </c:pt>
                <c:pt idx="5">
                  <c:v>6240</c:v>
                </c:pt>
                <c:pt idx="6">
                  <c:v>7200</c:v>
                </c:pt>
                <c:pt idx="7">
                  <c:v>8160</c:v>
                </c:pt>
                <c:pt idx="8">
                  <c:v>9120</c:v>
                </c:pt>
                <c:pt idx="9">
                  <c:v>10080</c:v>
                </c:pt>
                <c:pt idx="10">
                  <c:v>11040</c:v>
                </c:pt>
                <c:pt idx="11">
                  <c:v>12000</c:v>
                </c:pt>
                <c:pt idx="12">
                  <c:v>12960</c:v>
                </c:pt>
                <c:pt idx="13">
                  <c:v>13920</c:v>
                </c:pt>
                <c:pt idx="14">
                  <c:v>14880</c:v>
                </c:pt>
                <c:pt idx="15">
                  <c:v>15840</c:v>
                </c:pt>
                <c:pt idx="16">
                  <c:v>16800</c:v>
                </c:pt>
                <c:pt idx="17">
                  <c:v>17760</c:v>
                </c:pt>
                <c:pt idx="18">
                  <c:v>18720</c:v>
                </c:pt>
                <c:pt idx="19">
                  <c:v>19680</c:v>
                </c:pt>
                <c:pt idx="20">
                  <c:v>20640</c:v>
                </c:pt>
                <c:pt idx="21">
                  <c:v>21600</c:v>
                </c:pt>
                <c:pt idx="22">
                  <c:v>22560</c:v>
                </c:pt>
                <c:pt idx="23">
                  <c:v>23520</c:v>
                </c:pt>
                <c:pt idx="24">
                  <c:v>24480</c:v>
                </c:pt>
                <c:pt idx="25">
                  <c:v>25440</c:v>
                </c:pt>
                <c:pt idx="26">
                  <c:v>26400</c:v>
                </c:pt>
                <c:pt idx="27">
                  <c:v>27360</c:v>
                </c:pt>
                <c:pt idx="28">
                  <c:v>28320</c:v>
                </c:pt>
                <c:pt idx="29">
                  <c:v>29280</c:v>
                </c:pt>
                <c:pt idx="30">
                  <c:v>30240</c:v>
                </c:pt>
                <c:pt idx="31">
                  <c:v>31200</c:v>
                </c:pt>
                <c:pt idx="32">
                  <c:v>32160</c:v>
                </c:pt>
                <c:pt idx="33">
                  <c:v>33120</c:v>
                </c:pt>
                <c:pt idx="34">
                  <c:v>34080</c:v>
                </c:pt>
                <c:pt idx="35">
                  <c:v>35040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'Monthly Model'!K3</c:f>
              <c:strCache>
                <c:ptCount val="1"/>
                <c:pt idx="0">
                  <c:v>Net profit (£)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'Monthly Model'!$K$4:$K$39</c:f>
              <c:numCache>
                <c:formatCode>\£#,##0;"(£"#,##0\);\-</c:formatCode>
                <c:ptCount val="36"/>
                <c:pt idx="0">
                  <c:v>-10560</c:v>
                </c:pt>
                <c:pt idx="1">
                  <c:v>-9600</c:v>
                </c:pt>
                <c:pt idx="2">
                  <c:v>-8640</c:v>
                </c:pt>
                <c:pt idx="3">
                  <c:v>-7680</c:v>
                </c:pt>
                <c:pt idx="4">
                  <c:v>-6720</c:v>
                </c:pt>
                <c:pt idx="5">
                  <c:v>-5760</c:v>
                </c:pt>
                <c:pt idx="6">
                  <c:v>-4800</c:v>
                </c:pt>
                <c:pt idx="7">
                  <c:v>-3840</c:v>
                </c:pt>
                <c:pt idx="8">
                  <c:v>-2880</c:v>
                </c:pt>
                <c:pt idx="9">
                  <c:v>-1920</c:v>
                </c:pt>
                <c:pt idx="10">
                  <c:v>-960</c:v>
                </c:pt>
                <c:pt idx="11">
                  <c:v>0</c:v>
                </c:pt>
                <c:pt idx="12">
                  <c:v>-9040</c:v>
                </c:pt>
                <c:pt idx="13">
                  <c:v>-8080</c:v>
                </c:pt>
                <c:pt idx="14">
                  <c:v>-7120</c:v>
                </c:pt>
                <c:pt idx="15">
                  <c:v>-6160</c:v>
                </c:pt>
                <c:pt idx="16">
                  <c:v>-5200</c:v>
                </c:pt>
                <c:pt idx="17">
                  <c:v>-4240</c:v>
                </c:pt>
                <c:pt idx="18">
                  <c:v>-3280</c:v>
                </c:pt>
                <c:pt idx="19">
                  <c:v>-2320</c:v>
                </c:pt>
                <c:pt idx="20">
                  <c:v>-1360</c:v>
                </c:pt>
                <c:pt idx="21">
                  <c:v>-400</c:v>
                </c:pt>
                <c:pt idx="22">
                  <c:v>560</c:v>
                </c:pt>
                <c:pt idx="23">
                  <c:v>1520</c:v>
                </c:pt>
                <c:pt idx="24">
                  <c:v>-7520</c:v>
                </c:pt>
                <c:pt idx="25">
                  <c:v>-6560</c:v>
                </c:pt>
                <c:pt idx="26">
                  <c:v>-5600</c:v>
                </c:pt>
                <c:pt idx="27">
                  <c:v>-4640</c:v>
                </c:pt>
                <c:pt idx="28">
                  <c:v>-3680</c:v>
                </c:pt>
                <c:pt idx="29">
                  <c:v>-2720</c:v>
                </c:pt>
                <c:pt idx="30">
                  <c:v>-1760</c:v>
                </c:pt>
                <c:pt idx="31">
                  <c:v>-800</c:v>
                </c:pt>
                <c:pt idx="32">
                  <c:v>160</c:v>
                </c:pt>
                <c:pt idx="33">
                  <c:v>1120</c:v>
                </c:pt>
                <c:pt idx="34">
                  <c:v>2080</c:v>
                </c:pt>
                <c:pt idx="35">
                  <c:v>3040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115422"/>
        <c:axId val="66526653"/>
      </c:lineChart>
      <c:catAx>
        <c:axId val="14115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26653"/>
        <c:crosses val="autoZero"/>
        <c:auto val="1"/>
        <c:lblAlgn val="ctr"/>
        <c:lblOffset val="100"/>
        <c:noMultiLvlLbl val="0"/>
      </c:catAx>
      <c:valAx>
        <c:axId val="66526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154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747720</xdr:colOff>
      <xdr:row>32</xdr:row>
      <xdr:rowOff>21960</xdr:rowOff>
    </xdr:to>
    <xdr:graphicFrame>
      <xdr:nvGraphicFramePr>
        <xdr:cNvPr id="1" name="Chart 1"/>
        <xdr:cNvGraphicFramePr/>
      </xdr:nvGraphicFramePr>
      <xdr:xfrm>
        <a:off x="0" y="3395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629280</xdr:colOff>
      <xdr:row>48</xdr:row>
      <xdr:rowOff>22320</xdr:rowOff>
    </xdr:to>
    <xdr:graphicFrame>
      <xdr:nvGraphicFramePr>
        <xdr:cNvPr id="2" name="Chart 2"/>
        <xdr:cNvGraphicFramePr/>
      </xdr:nvGraphicFramePr>
      <xdr:xfrm>
        <a:off x="0" y="6444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4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3000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0.15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f aca="false">B5*B6</f>
        <v>450</v>
      </c>
      <c r="C7" s="7" t="s">
        <v>8</v>
      </c>
    </row>
    <row r="8" customFormat="false" ht="15" hidden="false" customHeight="false" outlineLevel="0" collapsed="false">
      <c r="A8" s="3" t="s">
        <v>9</v>
      </c>
      <c r="B8" s="4"/>
      <c r="C8" s="4"/>
    </row>
    <row r="9" customFormat="false" ht="15" hidden="false" customHeight="false" outlineLevel="0" collapsed="false">
      <c r="A9" s="5" t="s">
        <v>10</v>
      </c>
      <c r="B9" s="10" t="n">
        <v>3</v>
      </c>
    </row>
    <row r="10" customFormat="false" ht="15" hidden="false" customHeight="false" outlineLevel="0" collapsed="false">
      <c r="A10" s="5" t="s">
        <v>11</v>
      </c>
      <c r="B10" s="10" t="n">
        <v>2</v>
      </c>
      <c r="C10" s="7" t="s">
        <v>12</v>
      </c>
    </row>
    <row r="11" customFormat="false" ht="15" hidden="false" customHeight="false" outlineLevel="0" collapsed="false">
      <c r="A11" s="5" t="s">
        <v>13</v>
      </c>
      <c r="B11" s="11" t="n">
        <v>2</v>
      </c>
      <c r="C11" s="7" t="s">
        <v>14</v>
      </c>
    </row>
    <row r="12" customFormat="false" ht="15" hidden="false" customHeight="false" outlineLevel="0" collapsed="false">
      <c r="A12" s="3" t="s">
        <v>15</v>
      </c>
      <c r="B12" s="4"/>
      <c r="C12" s="4"/>
    </row>
    <row r="13" customFormat="false" ht="15" hidden="false" customHeight="false" outlineLevel="0" collapsed="false">
      <c r="A13" s="5" t="s">
        <v>16</v>
      </c>
      <c r="B13" s="6" t="n">
        <v>60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6" t="n">
        <v>150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6" t="n">
        <v>12000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6" t="n">
        <v>22000</v>
      </c>
    </row>
    <row r="17" customFormat="false" ht="15" hidden="false" customHeight="false" outlineLevel="0" collapsed="false">
      <c r="A17" s="5" t="s">
        <v>23</v>
      </c>
      <c r="B17" s="6" t="n">
        <v>32000</v>
      </c>
    </row>
    <row r="19" customFormat="false" ht="15" hidden="false" customHeight="false" outlineLevel="0" collapsed="false">
      <c r="A19" s="12" t="s">
        <v>24</v>
      </c>
      <c r="B19" s="13" t="n">
        <f aca="false">B7-B13-B14</f>
        <v>240</v>
      </c>
    </row>
    <row r="20" customFormat="false" ht="15" hidden="false" customHeight="false" outlineLevel="0" collapsed="false">
      <c r="A20" s="12" t="s">
        <v>25</v>
      </c>
      <c r="B20" s="14" t="n">
        <f aca="false">B19/B7</f>
        <v>0.533333333333333</v>
      </c>
    </row>
    <row r="22" customFormat="false" ht="15" hidden="false" customHeight="false" outlineLevel="0" collapsed="false">
      <c r="A22" s="15" t="s">
        <v>26</v>
      </c>
      <c r="B22" s="15"/>
      <c r="C22" s="15"/>
      <c r="D22" s="15"/>
    </row>
  </sheetData>
  <mergeCells count="2">
    <mergeCell ref="A2:D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1"/>
  </cols>
  <sheetData>
    <row r="1" customFormat="false" ht="18.55" hidden="false" customHeight="false" outlineLevel="0" collapsed="false">
      <c r="A1" s="1" t="s">
        <v>27</v>
      </c>
    </row>
    <row r="3" customFormat="false" ht="22.35" hidden="false" customHeight="false" outlineLevel="0" collapsed="false">
      <c r="A3" s="16" t="s">
        <v>28</v>
      </c>
      <c r="B3" s="16" t="s">
        <v>29</v>
      </c>
      <c r="C3" s="16" t="s">
        <v>30</v>
      </c>
      <c r="D3" s="16" t="s">
        <v>31</v>
      </c>
      <c r="E3" s="16" t="s">
        <v>32</v>
      </c>
      <c r="F3" s="16" t="s">
        <v>33</v>
      </c>
      <c r="G3" s="16" t="s">
        <v>34</v>
      </c>
      <c r="H3" s="16" t="s">
        <v>35</v>
      </c>
      <c r="I3" s="16" t="s">
        <v>36</v>
      </c>
      <c r="J3" s="16" t="s">
        <v>37</v>
      </c>
      <c r="K3" s="16" t="s">
        <v>38</v>
      </c>
      <c r="L3" s="16" t="s">
        <v>39</v>
      </c>
      <c r="M3" s="16" t="s">
        <v>40</v>
      </c>
    </row>
    <row r="4" customFormat="false" ht="15" hidden="false" customHeight="false" outlineLevel="0" collapsed="false">
      <c r="A4" s="17" t="n">
        <v>1</v>
      </c>
      <c r="B4" s="17" t="n">
        <f aca="false">INT((A4-1)/12)+1</f>
        <v>1</v>
      </c>
      <c r="C4" s="18" t="n">
        <f aca="false">Assumptions!$B$9</f>
        <v>3</v>
      </c>
      <c r="D4" s="19" t="n">
        <f aca="false">Assumptions!$B$11</f>
        <v>2</v>
      </c>
      <c r="E4" s="18" t="n">
        <f aca="false">C4*D4</f>
        <v>6</v>
      </c>
      <c r="F4" s="20" t="n">
        <f aca="false">E4*Assumptions!$B$7</f>
        <v>2700</v>
      </c>
      <c r="G4" s="20" t="n">
        <f aca="false">E4*Assumptions!$B$13</f>
        <v>360</v>
      </c>
      <c r="H4" s="20" t="n">
        <f aca="false">E4*Assumptions!$B$14</f>
        <v>900</v>
      </c>
      <c r="I4" s="20" t="n">
        <f aca="false">F4-G4-H4</f>
        <v>1440</v>
      </c>
      <c r="J4" s="20" t="n">
        <f aca="false">CHOOSE(B4,Assumptions!$B$15,Assumptions!$B$16,Assumptions!$B$17)</f>
        <v>12000</v>
      </c>
      <c r="K4" s="20" t="n">
        <f aca="false">I4-J4</f>
        <v>-10560</v>
      </c>
      <c r="L4" s="20" t="n">
        <f aca="false">K4</f>
        <v>-10560</v>
      </c>
      <c r="M4" s="21" t="str">
        <f aca="false">IF(K4&gt;0,A4,"")</f>
        <v/>
      </c>
    </row>
    <row r="5" customFormat="false" ht="15" hidden="false" customHeight="false" outlineLevel="0" collapsed="false">
      <c r="A5" s="22" t="n">
        <v>2</v>
      </c>
      <c r="B5" s="22" t="n">
        <f aca="false">INT((A5-1)/12)+1</f>
        <v>1</v>
      </c>
      <c r="C5" s="23" t="n">
        <f aca="false">C4+Assumptions!$B$10</f>
        <v>5</v>
      </c>
      <c r="D5" s="24" t="n">
        <f aca="false">Assumptions!$B$11</f>
        <v>2</v>
      </c>
      <c r="E5" s="23" t="n">
        <f aca="false">C5*D5</f>
        <v>10</v>
      </c>
      <c r="F5" s="25" t="n">
        <f aca="false">E5*Assumptions!$B$7</f>
        <v>4500</v>
      </c>
      <c r="G5" s="25" t="n">
        <f aca="false">E5*Assumptions!$B$13</f>
        <v>600</v>
      </c>
      <c r="H5" s="25" t="n">
        <f aca="false">E5*Assumptions!$B$14</f>
        <v>1500</v>
      </c>
      <c r="I5" s="25" t="n">
        <f aca="false">F5-G5-H5</f>
        <v>2400</v>
      </c>
      <c r="J5" s="25" t="n">
        <f aca="false">CHOOSE(B5,Assumptions!$B$15,Assumptions!$B$16,Assumptions!$B$17)</f>
        <v>12000</v>
      </c>
      <c r="K5" s="25" t="n">
        <f aca="false">I5-J5</f>
        <v>-9600</v>
      </c>
      <c r="L5" s="25" t="n">
        <f aca="false">L4+K5</f>
        <v>-20160</v>
      </c>
      <c r="M5" s="21" t="str">
        <f aca="false">IF(K5&gt;0,A5,"")</f>
        <v/>
      </c>
    </row>
    <row r="6" customFormat="false" ht="15" hidden="false" customHeight="false" outlineLevel="0" collapsed="false">
      <c r="A6" s="17" t="n">
        <v>3</v>
      </c>
      <c r="B6" s="17" t="n">
        <f aca="false">INT((A6-1)/12)+1</f>
        <v>1</v>
      </c>
      <c r="C6" s="18" t="n">
        <f aca="false">C5+Assumptions!$B$10</f>
        <v>7</v>
      </c>
      <c r="D6" s="19" t="n">
        <f aca="false">Assumptions!$B$11</f>
        <v>2</v>
      </c>
      <c r="E6" s="18" t="n">
        <f aca="false">C6*D6</f>
        <v>14</v>
      </c>
      <c r="F6" s="20" t="n">
        <f aca="false">E6*Assumptions!$B$7</f>
        <v>6300</v>
      </c>
      <c r="G6" s="20" t="n">
        <f aca="false">E6*Assumptions!$B$13</f>
        <v>840</v>
      </c>
      <c r="H6" s="20" t="n">
        <f aca="false">E6*Assumptions!$B$14</f>
        <v>2100</v>
      </c>
      <c r="I6" s="20" t="n">
        <f aca="false">F6-G6-H6</f>
        <v>3360</v>
      </c>
      <c r="J6" s="20" t="n">
        <f aca="false">CHOOSE(B6,Assumptions!$B$15,Assumptions!$B$16,Assumptions!$B$17)</f>
        <v>12000</v>
      </c>
      <c r="K6" s="20" t="n">
        <f aca="false">I6-J6</f>
        <v>-8640</v>
      </c>
      <c r="L6" s="20" t="n">
        <f aca="false">L5+K6</f>
        <v>-28800</v>
      </c>
      <c r="M6" s="21" t="str">
        <f aca="false">IF(K6&gt;0,A6,"")</f>
        <v/>
      </c>
    </row>
    <row r="7" customFormat="false" ht="15" hidden="false" customHeight="false" outlineLevel="0" collapsed="false">
      <c r="A7" s="22" t="n">
        <v>4</v>
      </c>
      <c r="B7" s="22" t="n">
        <f aca="false">INT((A7-1)/12)+1</f>
        <v>1</v>
      </c>
      <c r="C7" s="23" t="n">
        <f aca="false">C6+Assumptions!$B$10</f>
        <v>9</v>
      </c>
      <c r="D7" s="24" t="n">
        <f aca="false">Assumptions!$B$11</f>
        <v>2</v>
      </c>
      <c r="E7" s="23" t="n">
        <f aca="false">C7*D7</f>
        <v>18</v>
      </c>
      <c r="F7" s="25" t="n">
        <f aca="false">E7*Assumptions!$B$7</f>
        <v>8100</v>
      </c>
      <c r="G7" s="25" t="n">
        <f aca="false">E7*Assumptions!$B$13</f>
        <v>1080</v>
      </c>
      <c r="H7" s="25" t="n">
        <f aca="false">E7*Assumptions!$B$14</f>
        <v>2700</v>
      </c>
      <c r="I7" s="25" t="n">
        <f aca="false">F7-G7-H7</f>
        <v>4320</v>
      </c>
      <c r="J7" s="25" t="n">
        <f aca="false">CHOOSE(B7,Assumptions!$B$15,Assumptions!$B$16,Assumptions!$B$17)</f>
        <v>12000</v>
      </c>
      <c r="K7" s="25" t="n">
        <f aca="false">I7-J7</f>
        <v>-7680</v>
      </c>
      <c r="L7" s="25" t="n">
        <f aca="false">L6+K7</f>
        <v>-36480</v>
      </c>
      <c r="M7" s="21" t="str">
        <f aca="false">IF(K7&gt;0,A7,"")</f>
        <v/>
      </c>
    </row>
    <row r="8" customFormat="false" ht="15" hidden="false" customHeight="false" outlineLevel="0" collapsed="false">
      <c r="A8" s="17" t="n">
        <v>5</v>
      </c>
      <c r="B8" s="17" t="n">
        <f aca="false">INT((A8-1)/12)+1</f>
        <v>1</v>
      </c>
      <c r="C8" s="18" t="n">
        <f aca="false">C7+Assumptions!$B$10</f>
        <v>11</v>
      </c>
      <c r="D8" s="19" t="n">
        <f aca="false">Assumptions!$B$11</f>
        <v>2</v>
      </c>
      <c r="E8" s="18" t="n">
        <f aca="false">C8*D8</f>
        <v>22</v>
      </c>
      <c r="F8" s="20" t="n">
        <f aca="false">E8*Assumptions!$B$7</f>
        <v>9900</v>
      </c>
      <c r="G8" s="20" t="n">
        <f aca="false">E8*Assumptions!$B$13</f>
        <v>1320</v>
      </c>
      <c r="H8" s="20" t="n">
        <f aca="false">E8*Assumptions!$B$14</f>
        <v>3300</v>
      </c>
      <c r="I8" s="20" t="n">
        <f aca="false">F8-G8-H8</f>
        <v>5280</v>
      </c>
      <c r="J8" s="20" t="n">
        <f aca="false">CHOOSE(B8,Assumptions!$B$15,Assumptions!$B$16,Assumptions!$B$17)</f>
        <v>12000</v>
      </c>
      <c r="K8" s="20" t="n">
        <f aca="false">I8-J8</f>
        <v>-6720</v>
      </c>
      <c r="L8" s="20" t="n">
        <f aca="false">L7+K8</f>
        <v>-43200</v>
      </c>
      <c r="M8" s="21" t="str">
        <f aca="false">IF(K8&gt;0,A8,"")</f>
        <v/>
      </c>
    </row>
    <row r="9" customFormat="false" ht="15" hidden="false" customHeight="false" outlineLevel="0" collapsed="false">
      <c r="A9" s="22" t="n">
        <v>6</v>
      </c>
      <c r="B9" s="22" t="n">
        <f aca="false">INT((A9-1)/12)+1</f>
        <v>1</v>
      </c>
      <c r="C9" s="23" t="n">
        <f aca="false">C8+Assumptions!$B$10</f>
        <v>13</v>
      </c>
      <c r="D9" s="24" t="n">
        <f aca="false">Assumptions!$B$11</f>
        <v>2</v>
      </c>
      <c r="E9" s="23" t="n">
        <f aca="false">C9*D9</f>
        <v>26</v>
      </c>
      <c r="F9" s="25" t="n">
        <f aca="false">E9*Assumptions!$B$7</f>
        <v>11700</v>
      </c>
      <c r="G9" s="25" t="n">
        <f aca="false">E9*Assumptions!$B$13</f>
        <v>1560</v>
      </c>
      <c r="H9" s="25" t="n">
        <f aca="false">E9*Assumptions!$B$14</f>
        <v>3900</v>
      </c>
      <c r="I9" s="25" t="n">
        <f aca="false">F9-G9-H9</f>
        <v>6240</v>
      </c>
      <c r="J9" s="25" t="n">
        <f aca="false">CHOOSE(B9,Assumptions!$B$15,Assumptions!$B$16,Assumptions!$B$17)</f>
        <v>12000</v>
      </c>
      <c r="K9" s="25" t="n">
        <f aca="false">I9-J9</f>
        <v>-5760</v>
      </c>
      <c r="L9" s="25" t="n">
        <f aca="false">L8+K9</f>
        <v>-48960</v>
      </c>
      <c r="M9" s="21" t="str">
        <f aca="false">IF(K9&gt;0,A9,"")</f>
        <v/>
      </c>
    </row>
    <row r="10" customFormat="false" ht="15" hidden="false" customHeight="false" outlineLevel="0" collapsed="false">
      <c r="A10" s="17" t="n">
        <v>7</v>
      </c>
      <c r="B10" s="17" t="n">
        <f aca="false">INT((A10-1)/12)+1</f>
        <v>1</v>
      </c>
      <c r="C10" s="18" t="n">
        <f aca="false">C9+Assumptions!$B$10</f>
        <v>15</v>
      </c>
      <c r="D10" s="19" t="n">
        <f aca="false">Assumptions!$B$11</f>
        <v>2</v>
      </c>
      <c r="E10" s="18" t="n">
        <f aca="false">C10*D10</f>
        <v>30</v>
      </c>
      <c r="F10" s="20" t="n">
        <f aca="false">E10*Assumptions!$B$7</f>
        <v>13500</v>
      </c>
      <c r="G10" s="20" t="n">
        <f aca="false">E10*Assumptions!$B$13</f>
        <v>1800</v>
      </c>
      <c r="H10" s="20" t="n">
        <f aca="false">E10*Assumptions!$B$14</f>
        <v>4500</v>
      </c>
      <c r="I10" s="20" t="n">
        <f aca="false">F10-G10-H10</f>
        <v>7200</v>
      </c>
      <c r="J10" s="20" t="n">
        <f aca="false">CHOOSE(B10,Assumptions!$B$15,Assumptions!$B$16,Assumptions!$B$17)</f>
        <v>12000</v>
      </c>
      <c r="K10" s="20" t="n">
        <f aca="false">I10-J10</f>
        <v>-4800</v>
      </c>
      <c r="L10" s="20" t="n">
        <f aca="false">L9+K10</f>
        <v>-53760</v>
      </c>
      <c r="M10" s="21" t="str">
        <f aca="false">IF(K10&gt;0,A10,"")</f>
        <v/>
      </c>
    </row>
    <row r="11" customFormat="false" ht="15" hidden="false" customHeight="false" outlineLevel="0" collapsed="false">
      <c r="A11" s="22" t="n">
        <v>8</v>
      </c>
      <c r="B11" s="22" t="n">
        <f aca="false">INT((A11-1)/12)+1</f>
        <v>1</v>
      </c>
      <c r="C11" s="23" t="n">
        <f aca="false">C10+Assumptions!$B$10</f>
        <v>17</v>
      </c>
      <c r="D11" s="24" t="n">
        <f aca="false">Assumptions!$B$11</f>
        <v>2</v>
      </c>
      <c r="E11" s="23" t="n">
        <f aca="false">C11*D11</f>
        <v>34</v>
      </c>
      <c r="F11" s="25" t="n">
        <f aca="false">E11*Assumptions!$B$7</f>
        <v>15300</v>
      </c>
      <c r="G11" s="25" t="n">
        <f aca="false">E11*Assumptions!$B$13</f>
        <v>2040</v>
      </c>
      <c r="H11" s="25" t="n">
        <f aca="false">E11*Assumptions!$B$14</f>
        <v>5100</v>
      </c>
      <c r="I11" s="25" t="n">
        <f aca="false">F11-G11-H11</f>
        <v>8160</v>
      </c>
      <c r="J11" s="25" t="n">
        <f aca="false">CHOOSE(B11,Assumptions!$B$15,Assumptions!$B$16,Assumptions!$B$17)</f>
        <v>12000</v>
      </c>
      <c r="K11" s="25" t="n">
        <f aca="false">I11-J11</f>
        <v>-3840</v>
      </c>
      <c r="L11" s="25" t="n">
        <f aca="false">L10+K11</f>
        <v>-57600</v>
      </c>
      <c r="M11" s="21" t="str">
        <f aca="false">IF(K11&gt;0,A11,"")</f>
        <v/>
      </c>
    </row>
    <row r="12" customFormat="false" ht="15" hidden="false" customHeight="false" outlineLevel="0" collapsed="false">
      <c r="A12" s="17" t="n">
        <v>9</v>
      </c>
      <c r="B12" s="17" t="n">
        <f aca="false">INT((A12-1)/12)+1</f>
        <v>1</v>
      </c>
      <c r="C12" s="18" t="n">
        <f aca="false">C11+Assumptions!$B$10</f>
        <v>19</v>
      </c>
      <c r="D12" s="19" t="n">
        <f aca="false">Assumptions!$B$11</f>
        <v>2</v>
      </c>
      <c r="E12" s="18" t="n">
        <f aca="false">C12*D12</f>
        <v>38</v>
      </c>
      <c r="F12" s="20" t="n">
        <f aca="false">E12*Assumptions!$B$7</f>
        <v>17100</v>
      </c>
      <c r="G12" s="20" t="n">
        <f aca="false">E12*Assumptions!$B$13</f>
        <v>2280</v>
      </c>
      <c r="H12" s="20" t="n">
        <f aca="false">E12*Assumptions!$B$14</f>
        <v>5700</v>
      </c>
      <c r="I12" s="20" t="n">
        <f aca="false">F12-G12-H12</f>
        <v>9120</v>
      </c>
      <c r="J12" s="20" t="n">
        <f aca="false">CHOOSE(B12,Assumptions!$B$15,Assumptions!$B$16,Assumptions!$B$17)</f>
        <v>12000</v>
      </c>
      <c r="K12" s="20" t="n">
        <f aca="false">I12-J12</f>
        <v>-2880</v>
      </c>
      <c r="L12" s="20" t="n">
        <f aca="false">L11+K12</f>
        <v>-60480</v>
      </c>
      <c r="M12" s="21" t="str">
        <f aca="false">IF(K12&gt;0,A12,"")</f>
        <v/>
      </c>
    </row>
    <row r="13" customFormat="false" ht="15" hidden="false" customHeight="false" outlineLevel="0" collapsed="false">
      <c r="A13" s="22" t="n">
        <v>10</v>
      </c>
      <c r="B13" s="22" t="n">
        <f aca="false">INT((A13-1)/12)+1</f>
        <v>1</v>
      </c>
      <c r="C13" s="23" t="n">
        <f aca="false">C12+Assumptions!$B$10</f>
        <v>21</v>
      </c>
      <c r="D13" s="24" t="n">
        <f aca="false">Assumptions!$B$11</f>
        <v>2</v>
      </c>
      <c r="E13" s="23" t="n">
        <f aca="false">C13*D13</f>
        <v>42</v>
      </c>
      <c r="F13" s="25" t="n">
        <f aca="false">E13*Assumptions!$B$7</f>
        <v>18900</v>
      </c>
      <c r="G13" s="25" t="n">
        <f aca="false">E13*Assumptions!$B$13</f>
        <v>2520</v>
      </c>
      <c r="H13" s="25" t="n">
        <f aca="false">E13*Assumptions!$B$14</f>
        <v>6300</v>
      </c>
      <c r="I13" s="25" t="n">
        <f aca="false">F13-G13-H13</f>
        <v>10080</v>
      </c>
      <c r="J13" s="25" t="n">
        <f aca="false">CHOOSE(B13,Assumptions!$B$15,Assumptions!$B$16,Assumptions!$B$17)</f>
        <v>12000</v>
      </c>
      <c r="K13" s="25" t="n">
        <f aca="false">I13-J13</f>
        <v>-1920</v>
      </c>
      <c r="L13" s="25" t="n">
        <f aca="false">L12+K13</f>
        <v>-62400</v>
      </c>
      <c r="M13" s="21" t="str">
        <f aca="false">IF(K13&gt;0,A13,"")</f>
        <v/>
      </c>
    </row>
    <row r="14" customFormat="false" ht="15" hidden="false" customHeight="false" outlineLevel="0" collapsed="false">
      <c r="A14" s="17" t="n">
        <v>11</v>
      </c>
      <c r="B14" s="17" t="n">
        <f aca="false">INT((A14-1)/12)+1</f>
        <v>1</v>
      </c>
      <c r="C14" s="18" t="n">
        <f aca="false">C13+Assumptions!$B$10</f>
        <v>23</v>
      </c>
      <c r="D14" s="19" t="n">
        <f aca="false">Assumptions!$B$11</f>
        <v>2</v>
      </c>
      <c r="E14" s="18" t="n">
        <f aca="false">C14*D14</f>
        <v>46</v>
      </c>
      <c r="F14" s="20" t="n">
        <f aca="false">E14*Assumptions!$B$7</f>
        <v>20700</v>
      </c>
      <c r="G14" s="20" t="n">
        <f aca="false">E14*Assumptions!$B$13</f>
        <v>2760</v>
      </c>
      <c r="H14" s="20" t="n">
        <f aca="false">E14*Assumptions!$B$14</f>
        <v>6900</v>
      </c>
      <c r="I14" s="20" t="n">
        <f aca="false">F14-G14-H14</f>
        <v>11040</v>
      </c>
      <c r="J14" s="20" t="n">
        <f aca="false">CHOOSE(B14,Assumptions!$B$15,Assumptions!$B$16,Assumptions!$B$17)</f>
        <v>12000</v>
      </c>
      <c r="K14" s="20" t="n">
        <f aca="false">I14-J14</f>
        <v>-960</v>
      </c>
      <c r="L14" s="20" t="n">
        <f aca="false">L13+K14</f>
        <v>-63360</v>
      </c>
      <c r="M14" s="21" t="str">
        <f aca="false">IF(K14&gt;0,A14,"")</f>
        <v/>
      </c>
    </row>
    <row r="15" customFormat="false" ht="15" hidden="false" customHeight="false" outlineLevel="0" collapsed="false">
      <c r="A15" s="22" t="n">
        <v>12</v>
      </c>
      <c r="B15" s="22" t="n">
        <f aca="false">INT((A15-1)/12)+1</f>
        <v>1</v>
      </c>
      <c r="C15" s="23" t="n">
        <f aca="false">C14+Assumptions!$B$10</f>
        <v>25</v>
      </c>
      <c r="D15" s="24" t="n">
        <f aca="false">Assumptions!$B$11</f>
        <v>2</v>
      </c>
      <c r="E15" s="23" t="n">
        <f aca="false">C15*D15</f>
        <v>50</v>
      </c>
      <c r="F15" s="25" t="n">
        <f aca="false">E15*Assumptions!$B$7</f>
        <v>22500</v>
      </c>
      <c r="G15" s="25" t="n">
        <f aca="false">E15*Assumptions!$B$13</f>
        <v>3000</v>
      </c>
      <c r="H15" s="25" t="n">
        <f aca="false">E15*Assumptions!$B$14</f>
        <v>7500</v>
      </c>
      <c r="I15" s="25" t="n">
        <f aca="false">F15-G15-H15</f>
        <v>12000</v>
      </c>
      <c r="J15" s="25" t="n">
        <f aca="false">CHOOSE(B15,Assumptions!$B$15,Assumptions!$B$16,Assumptions!$B$17)</f>
        <v>12000</v>
      </c>
      <c r="K15" s="25" t="n">
        <f aca="false">I15-J15</f>
        <v>0</v>
      </c>
      <c r="L15" s="25" t="n">
        <f aca="false">L14+K15</f>
        <v>-63360</v>
      </c>
      <c r="M15" s="21" t="str">
        <f aca="false">IF(K15&gt;0,A15,"")</f>
        <v/>
      </c>
    </row>
    <row r="16" customFormat="false" ht="15" hidden="false" customHeight="false" outlineLevel="0" collapsed="false">
      <c r="A16" s="17" t="n">
        <v>13</v>
      </c>
      <c r="B16" s="17" t="n">
        <f aca="false">INT((A16-1)/12)+1</f>
        <v>2</v>
      </c>
      <c r="C16" s="18" t="n">
        <f aca="false">C15+Assumptions!$B$10</f>
        <v>27</v>
      </c>
      <c r="D16" s="19" t="n">
        <f aca="false">Assumptions!$B$11</f>
        <v>2</v>
      </c>
      <c r="E16" s="18" t="n">
        <f aca="false">C16*D16</f>
        <v>54</v>
      </c>
      <c r="F16" s="20" t="n">
        <f aca="false">E16*Assumptions!$B$7</f>
        <v>24300</v>
      </c>
      <c r="G16" s="20" t="n">
        <f aca="false">E16*Assumptions!$B$13</f>
        <v>3240</v>
      </c>
      <c r="H16" s="20" t="n">
        <f aca="false">E16*Assumptions!$B$14</f>
        <v>8100</v>
      </c>
      <c r="I16" s="20" t="n">
        <f aca="false">F16-G16-H16</f>
        <v>12960</v>
      </c>
      <c r="J16" s="20" t="n">
        <f aca="false">CHOOSE(B16,Assumptions!$B$15,Assumptions!$B$16,Assumptions!$B$17)</f>
        <v>22000</v>
      </c>
      <c r="K16" s="20" t="n">
        <f aca="false">I16-J16</f>
        <v>-9040</v>
      </c>
      <c r="L16" s="20" t="n">
        <f aca="false">L15+K16</f>
        <v>-72400</v>
      </c>
      <c r="M16" s="21" t="str">
        <f aca="false">IF(K16&gt;0,A16,"")</f>
        <v/>
      </c>
    </row>
    <row r="17" customFormat="false" ht="15" hidden="false" customHeight="false" outlineLevel="0" collapsed="false">
      <c r="A17" s="22" t="n">
        <v>14</v>
      </c>
      <c r="B17" s="22" t="n">
        <f aca="false">INT((A17-1)/12)+1</f>
        <v>2</v>
      </c>
      <c r="C17" s="23" t="n">
        <f aca="false">C16+Assumptions!$B$10</f>
        <v>29</v>
      </c>
      <c r="D17" s="24" t="n">
        <f aca="false">Assumptions!$B$11</f>
        <v>2</v>
      </c>
      <c r="E17" s="23" t="n">
        <f aca="false">C17*D17</f>
        <v>58</v>
      </c>
      <c r="F17" s="25" t="n">
        <f aca="false">E17*Assumptions!$B$7</f>
        <v>26100</v>
      </c>
      <c r="G17" s="25" t="n">
        <f aca="false">E17*Assumptions!$B$13</f>
        <v>3480</v>
      </c>
      <c r="H17" s="25" t="n">
        <f aca="false">E17*Assumptions!$B$14</f>
        <v>8700</v>
      </c>
      <c r="I17" s="25" t="n">
        <f aca="false">F17-G17-H17</f>
        <v>13920</v>
      </c>
      <c r="J17" s="25" t="n">
        <f aca="false">CHOOSE(B17,Assumptions!$B$15,Assumptions!$B$16,Assumptions!$B$17)</f>
        <v>22000</v>
      </c>
      <c r="K17" s="25" t="n">
        <f aca="false">I17-J17</f>
        <v>-8080</v>
      </c>
      <c r="L17" s="25" t="n">
        <f aca="false">L16+K17</f>
        <v>-80480</v>
      </c>
      <c r="M17" s="21" t="str">
        <f aca="false">IF(K17&gt;0,A17,"")</f>
        <v/>
      </c>
    </row>
    <row r="18" customFormat="false" ht="15" hidden="false" customHeight="false" outlineLevel="0" collapsed="false">
      <c r="A18" s="17" t="n">
        <v>15</v>
      </c>
      <c r="B18" s="17" t="n">
        <f aca="false">INT((A18-1)/12)+1</f>
        <v>2</v>
      </c>
      <c r="C18" s="18" t="n">
        <f aca="false">C17+Assumptions!$B$10</f>
        <v>31</v>
      </c>
      <c r="D18" s="19" t="n">
        <f aca="false">Assumptions!$B$11</f>
        <v>2</v>
      </c>
      <c r="E18" s="18" t="n">
        <f aca="false">C18*D18</f>
        <v>62</v>
      </c>
      <c r="F18" s="20" t="n">
        <f aca="false">E18*Assumptions!$B$7</f>
        <v>27900</v>
      </c>
      <c r="G18" s="20" t="n">
        <f aca="false">E18*Assumptions!$B$13</f>
        <v>3720</v>
      </c>
      <c r="H18" s="20" t="n">
        <f aca="false">E18*Assumptions!$B$14</f>
        <v>9300</v>
      </c>
      <c r="I18" s="20" t="n">
        <f aca="false">F18-G18-H18</f>
        <v>14880</v>
      </c>
      <c r="J18" s="20" t="n">
        <f aca="false">CHOOSE(B18,Assumptions!$B$15,Assumptions!$B$16,Assumptions!$B$17)</f>
        <v>22000</v>
      </c>
      <c r="K18" s="20" t="n">
        <f aca="false">I18-J18</f>
        <v>-7120</v>
      </c>
      <c r="L18" s="20" t="n">
        <f aca="false">L17+K18</f>
        <v>-87600</v>
      </c>
      <c r="M18" s="21" t="str">
        <f aca="false">IF(K18&gt;0,A18,"")</f>
        <v/>
      </c>
    </row>
    <row r="19" customFormat="false" ht="15" hidden="false" customHeight="false" outlineLevel="0" collapsed="false">
      <c r="A19" s="22" t="n">
        <v>16</v>
      </c>
      <c r="B19" s="22" t="n">
        <f aca="false">INT((A19-1)/12)+1</f>
        <v>2</v>
      </c>
      <c r="C19" s="23" t="n">
        <f aca="false">C18+Assumptions!$B$10</f>
        <v>33</v>
      </c>
      <c r="D19" s="24" t="n">
        <f aca="false">Assumptions!$B$11</f>
        <v>2</v>
      </c>
      <c r="E19" s="23" t="n">
        <f aca="false">C19*D19</f>
        <v>66</v>
      </c>
      <c r="F19" s="25" t="n">
        <f aca="false">E19*Assumptions!$B$7</f>
        <v>29700</v>
      </c>
      <c r="G19" s="25" t="n">
        <f aca="false">E19*Assumptions!$B$13</f>
        <v>3960</v>
      </c>
      <c r="H19" s="25" t="n">
        <f aca="false">E19*Assumptions!$B$14</f>
        <v>9900</v>
      </c>
      <c r="I19" s="25" t="n">
        <f aca="false">F19-G19-H19</f>
        <v>15840</v>
      </c>
      <c r="J19" s="25" t="n">
        <f aca="false">CHOOSE(B19,Assumptions!$B$15,Assumptions!$B$16,Assumptions!$B$17)</f>
        <v>22000</v>
      </c>
      <c r="K19" s="25" t="n">
        <f aca="false">I19-J19</f>
        <v>-6160</v>
      </c>
      <c r="L19" s="25" t="n">
        <f aca="false">L18+K19</f>
        <v>-93760</v>
      </c>
      <c r="M19" s="21" t="str">
        <f aca="false">IF(K19&gt;0,A19,"")</f>
        <v/>
      </c>
    </row>
    <row r="20" customFormat="false" ht="15" hidden="false" customHeight="false" outlineLevel="0" collapsed="false">
      <c r="A20" s="17" t="n">
        <v>17</v>
      </c>
      <c r="B20" s="17" t="n">
        <f aca="false">INT((A20-1)/12)+1</f>
        <v>2</v>
      </c>
      <c r="C20" s="18" t="n">
        <f aca="false">C19+Assumptions!$B$10</f>
        <v>35</v>
      </c>
      <c r="D20" s="19" t="n">
        <f aca="false">Assumptions!$B$11</f>
        <v>2</v>
      </c>
      <c r="E20" s="18" t="n">
        <f aca="false">C20*D20</f>
        <v>70</v>
      </c>
      <c r="F20" s="20" t="n">
        <f aca="false">E20*Assumptions!$B$7</f>
        <v>31500</v>
      </c>
      <c r="G20" s="20" t="n">
        <f aca="false">E20*Assumptions!$B$13</f>
        <v>4200</v>
      </c>
      <c r="H20" s="20" t="n">
        <f aca="false">E20*Assumptions!$B$14</f>
        <v>10500</v>
      </c>
      <c r="I20" s="20" t="n">
        <f aca="false">F20-G20-H20</f>
        <v>16800</v>
      </c>
      <c r="J20" s="20" t="n">
        <f aca="false">CHOOSE(B20,Assumptions!$B$15,Assumptions!$B$16,Assumptions!$B$17)</f>
        <v>22000</v>
      </c>
      <c r="K20" s="20" t="n">
        <f aca="false">I20-J20</f>
        <v>-5200</v>
      </c>
      <c r="L20" s="20" t="n">
        <f aca="false">L19+K20</f>
        <v>-98960</v>
      </c>
      <c r="M20" s="21" t="str">
        <f aca="false">IF(K20&gt;0,A20,"")</f>
        <v/>
      </c>
    </row>
    <row r="21" customFormat="false" ht="15" hidden="false" customHeight="false" outlineLevel="0" collapsed="false">
      <c r="A21" s="22" t="n">
        <v>18</v>
      </c>
      <c r="B21" s="22" t="n">
        <f aca="false">INT((A21-1)/12)+1</f>
        <v>2</v>
      </c>
      <c r="C21" s="23" t="n">
        <f aca="false">C20+Assumptions!$B$10</f>
        <v>37</v>
      </c>
      <c r="D21" s="24" t="n">
        <f aca="false">Assumptions!$B$11</f>
        <v>2</v>
      </c>
      <c r="E21" s="23" t="n">
        <f aca="false">C21*D21</f>
        <v>74</v>
      </c>
      <c r="F21" s="25" t="n">
        <f aca="false">E21*Assumptions!$B$7</f>
        <v>33300</v>
      </c>
      <c r="G21" s="25" t="n">
        <f aca="false">E21*Assumptions!$B$13</f>
        <v>4440</v>
      </c>
      <c r="H21" s="25" t="n">
        <f aca="false">E21*Assumptions!$B$14</f>
        <v>11100</v>
      </c>
      <c r="I21" s="25" t="n">
        <f aca="false">F21-G21-H21</f>
        <v>17760</v>
      </c>
      <c r="J21" s="25" t="n">
        <f aca="false">CHOOSE(B21,Assumptions!$B$15,Assumptions!$B$16,Assumptions!$B$17)</f>
        <v>22000</v>
      </c>
      <c r="K21" s="25" t="n">
        <f aca="false">I21-J21</f>
        <v>-4240</v>
      </c>
      <c r="L21" s="25" t="n">
        <f aca="false">L20+K21</f>
        <v>-103200</v>
      </c>
      <c r="M21" s="21" t="str">
        <f aca="false">IF(K21&gt;0,A21,"")</f>
        <v/>
      </c>
    </row>
    <row r="22" customFormat="false" ht="15" hidden="false" customHeight="false" outlineLevel="0" collapsed="false">
      <c r="A22" s="17" t="n">
        <v>19</v>
      </c>
      <c r="B22" s="17" t="n">
        <f aca="false">INT((A22-1)/12)+1</f>
        <v>2</v>
      </c>
      <c r="C22" s="18" t="n">
        <f aca="false">C21+Assumptions!$B$10</f>
        <v>39</v>
      </c>
      <c r="D22" s="19" t="n">
        <f aca="false">Assumptions!$B$11</f>
        <v>2</v>
      </c>
      <c r="E22" s="18" t="n">
        <f aca="false">C22*D22</f>
        <v>78</v>
      </c>
      <c r="F22" s="20" t="n">
        <f aca="false">E22*Assumptions!$B$7</f>
        <v>35100</v>
      </c>
      <c r="G22" s="20" t="n">
        <f aca="false">E22*Assumptions!$B$13</f>
        <v>4680</v>
      </c>
      <c r="H22" s="20" t="n">
        <f aca="false">E22*Assumptions!$B$14</f>
        <v>11700</v>
      </c>
      <c r="I22" s="20" t="n">
        <f aca="false">F22-G22-H22</f>
        <v>18720</v>
      </c>
      <c r="J22" s="20" t="n">
        <f aca="false">CHOOSE(B22,Assumptions!$B$15,Assumptions!$B$16,Assumptions!$B$17)</f>
        <v>22000</v>
      </c>
      <c r="K22" s="20" t="n">
        <f aca="false">I22-J22</f>
        <v>-3280</v>
      </c>
      <c r="L22" s="20" t="n">
        <f aca="false">L21+K22</f>
        <v>-106480</v>
      </c>
      <c r="M22" s="21" t="str">
        <f aca="false">IF(K22&gt;0,A22,"")</f>
        <v/>
      </c>
    </row>
    <row r="23" customFormat="false" ht="15" hidden="false" customHeight="false" outlineLevel="0" collapsed="false">
      <c r="A23" s="22" t="n">
        <v>20</v>
      </c>
      <c r="B23" s="22" t="n">
        <f aca="false">INT((A23-1)/12)+1</f>
        <v>2</v>
      </c>
      <c r="C23" s="23" t="n">
        <f aca="false">C22+Assumptions!$B$10</f>
        <v>41</v>
      </c>
      <c r="D23" s="24" t="n">
        <f aca="false">Assumptions!$B$11</f>
        <v>2</v>
      </c>
      <c r="E23" s="23" t="n">
        <f aca="false">C23*D23</f>
        <v>82</v>
      </c>
      <c r="F23" s="25" t="n">
        <f aca="false">E23*Assumptions!$B$7</f>
        <v>36900</v>
      </c>
      <c r="G23" s="25" t="n">
        <f aca="false">E23*Assumptions!$B$13</f>
        <v>4920</v>
      </c>
      <c r="H23" s="25" t="n">
        <f aca="false">E23*Assumptions!$B$14</f>
        <v>12300</v>
      </c>
      <c r="I23" s="25" t="n">
        <f aca="false">F23-G23-H23</f>
        <v>19680</v>
      </c>
      <c r="J23" s="25" t="n">
        <f aca="false">CHOOSE(B23,Assumptions!$B$15,Assumptions!$B$16,Assumptions!$B$17)</f>
        <v>22000</v>
      </c>
      <c r="K23" s="25" t="n">
        <f aca="false">I23-J23</f>
        <v>-2320</v>
      </c>
      <c r="L23" s="25" t="n">
        <f aca="false">L22+K23</f>
        <v>-108800</v>
      </c>
      <c r="M23" s="21" t="str">
        <f aca="false">IF(K23&gt;0,A23,"")</f>
        <v/>
      </c>
    </row>
    <row r="24" customFormat="false" ht="15" hidden="false" customHeight="false" outlineLevel="0" collapsed="false">
      <c r="A24" s="17" t="n">
        <v>21</v>
      </c>
      <c r="B24" s="17" t="n">
        <f aca="false">INT((A24-1)/12)+1</f>
        <v>2</v>
      </c>
      <c r="C24" s="18" t="n">
        <f aca="false">C23+Assumptions!$B$10</f>
        <v>43</v>
      </c>
      <c r="D24" s="19" t="n">
        <f aca="false">Assumptions!$B$11</f>
        <v>2</v>
      </c>
      <c r="E24" s="18" t="n">
        <f aca="false">C24*D24</f>
        <v>86</v>
      </c>
      <c r="F24" s="20" t="n">
        <f aca="false">E24*Assumptions!$B$7</f>
        <v>38700</v>
      </c>
      <c r="G24" s="20" t="n">
        <f aca="false">E24*Assumptions!$B$13</f>
        <v>5160</v>
      </c>
      <c r="H24" s="20" t="n">
        <f aca="false">E24*Assumptions!$B$14</f>
        <v>12900</v>
      </c>
      <c r="I24" s="20" t="n">
        <f aca="false">F24-G24-H24</f>
        <v>20640</v>
      </c>
      <c r="J24" s="20" t="n">
        <f aca="false">CHOOSE(B24,Assumptions!$B$15,Assumptions!$B$16,Assumptions!$B$17)</f>
        <v>22000</v>
      </c>
      <c r="K24" s="20" t="n">
        <f aca="false">I24-J24</f>
        <v>-1360</v>
      </c>
      <c r="L24" s="20" t="n">
        <f aca="false">L23+K24</f>
        <v>-110160</v>
      </c>
      <c r="M24" s="21" t="str">
        <f aca="false">IF(K24&gt;0,A24,"")</f>
        <v/>
      </c>
    </row>
    <row r="25" customFormat="false" ht="15" hidden="false" customHeight="false" outlineLevel="0" collapsed="false">
      <c r="A25" s="22" t="n">
        <v>22</v>
      </c>
      <c r="B25" s="22" t="n">
        <f aca="false">INT((A25-1)/12)+1</f>
        <v>2</v>
      </c>
      <c r="C25" s="23" t="n">
        <f aca="false">C24+Assumptions!$B$10</f>
        <v>45</v>
      </c>
      <c r="D25" s="24" t="n">
        <f aca="false">Assumptions!$B$11</f>
        <v>2</v>
      </c>
      <c r="E25" s="23" t="n">
        <f aca="false">C25*D25</f>
        <v>90</v>
      </c>
      <c r="F25" s="25" t="n">
        <f aca="false">E25*Assumptions!$B$7</f>
        <v>40500</v>
      </c>
      <c r="G25" s="25" t="n">
        <f aca="false">E25*Assumptions!$B$13</f>
        <v>5400</v>
      </c>
      <c r="H25" s="25" t="n">
        <f aca="false">E25*Assumptions!$B$14</f>
        <v>13500</v>
      </c>
      <c r="I25" s="25" t="n">
        <f aca="false">F25-G25-H25</f>
        <v>21600</v>
      </c>
      <c r="J25" s="25" t="n">
        <f aca="false">CHOOSE(B25,Assumptions!$B$15,Assumptions!$B$16,Assumptions!$B$17)</f>
        <v>22000</v>
      </c>
      <c r="K25" s="25" t="n">
        <f aca="false">I25-J25</f>
        <v>-400</v>
      </c>
      <c r="L25" s="25" t="n">
        <f aca="false">L24+K25</f>
        <v>-110560</v>
      </c>
      <c r="M25" s="21" t="str">
        <f aca="false">IF(K25&gt;0,A25,"")</f>
        <v/>
      </c>
    </row>
    <row r="26" customFormat="false" ht="15" hidden="false" customHeight="false" outlineLevel="0" collapsed="false">
      <c r="A26" s="17" t="n">
        <v>23</v>
      </c>
      <c r="B26" s="17" t="n">
        <f aca="false">INT((A26-1)/12)+1</f>
        <v>2</v>
      </c>
      <c r="C26" s="18" t="n">
        <f aca="false">C25+Assumptions!$B$10</f>
        <v>47</v>
      </c>
      <c r="D26" s="19" t="n">
        <f aca="false">Assumptions!$B$11</f>
        <v>2</v>
      </c>
      <c r="E26" s="18" t="n">
        <f aca="false">C26*D26</f>
        <v>94</v>
      </c>
      <c r="F26" s="20" t="n">
        <f aca="false">E26*Assumptions!$B$7</f>
        <v>42300</v>
      </c>
      <c r="G26" s="20" t="n">
        <f aca="false">E26*Assumptions!$B$13</f>
        <v>5640</v>
      </c>
      <c r="H26" s="20" t="n">
        <f aca="false">E26*Assumptions!$B$14</f>
        <v>14100</v>
      </c>
      <c r="I26" s="20" t="n">
        <f aca="false">F26-G26-H26</f>
        <v>22560</v>
      </c>
      <c r="J26" s="20" t="n">
        <f aca="false">CHOOSE(B26,Assumptions!$B$15,Assumptions!$B$16,Assumptions!$B$17)</f>
        <v>22000</v>
      </c>
      <c r="K26" s="20" t="n">
        <f aca="false">I26-J26</f>
        <v>560</v>
      </c>
      <c r="L26" s="20" t="n">
        <f aca="false">L25+K26</f>
        <v>-110000</v>
      </c>
      <c r="M26" s="21" t="n">
        <f aca="false">IF(K26&gt;0,A26,"")</f>
        <v>23</v>
      </c>
    </row>
    <row r="27" customFormat="false" ht="15" hidden="false" customHeight="false" outlineLevel="0" collapsed="false">
      <c r="A27" s="22" t="n">
        <v>24</v>
      </c>
      <c r="B27" s="22" t="n">
        <f aca="false">INT((A27-1)/12)+1</f>
        <v>2</v>
      </c>
      <c r="C27" s="23" t="n">
        <f aca="false">C26+Assumptions!$B$10</f>
        <v>49</v>
      </c>
      <c r="D27" s="24" t="n">
        <f aca="false">Assumptions!$B$11</f>
        <v>2</v>
      </c>
      <c r="E27" s="23" t="n">
        <f aca="false">C27*D27</f>
        <v>98</v>
      </c>
      <c r="F27" s="25" t="n">
        <f aca="false">E27*Assumptions!$B$7</f>
        <v>44100</v>
      </c>
      <c r="G27" s="25" t="n">
        <f aca="false">E27*Assumptions!$B$13</f>
        <v>5880</v>
      </c>
      <c r="H27" s="25" t="n">
        <f aca="false">E27*Assumptions!$B$14</f>
        <v>14700</v>
      </c>
      <c r="I27" s="25" t="n">
        <f aca="false">F27-G27-H27</f>
        <v>23520</v>
      </c>
      <c r="J27" s="25" t="n">
        <f aca="false">CHOOSE(B27,Assumptions!$B$15,Assumptions!$B$16,Assumptions!$B$17)</f>
        <v>22000</v>
      </c>
      <c r="K27" s="25" t="n">
        <f aca="false">I27-J27</f>
        <v>1520</v>
      </c>
      <c r="L27" s="25" t="n">
        <f aca="false">L26+K27</f>
        <v>-108480</v>
      </c>
      <c r="M27" s="21" t="n">
        <f aca="false">IF(K27&gt;0,A27,"")</f>
        <v>24</v>
      </c>
    </row>
    <row r="28" customFormat="false" ht="15" hidden="false" customHeight="false" outlineLevel="0" collapsed="false">
      <c r="A28" s="17" t="n">
        <v>25</v>
      </c>
      <c r="B28" s="17" t="n">
        <f aca="false">INT((A28-1)/12)+1</f>
        <v>3</v>
      </c>
      <c r="C28" s="18" t="n">
        <f aca="false">C27+Assumptions!$B$10</f>
        <v>51</v>
      </c>
      <c r="D28" s="19" t="n">
        <f aca="false">Assumptions!$B$11</f>
        <v>2</v>
      </c>
      <c r="E28" s="18" t="n">
        <f aca="false">C28*D28</f>
        <v>102</v>
      </c>
      <c r="F28" s="20" t="n">
        <f aca="false">E28*Assumptions!$B$7</f>
        <v>45900</v>
      </c>
      <c r="G28" s="20" t="n">
        <f aca="false">E28*Assumptions!$B$13</f>
        <v>6120</v>
      </c>
      <c r="H28" s="20" t="n">
        <f aca="false">E28*Assumptions!$B$14</f>
        <v>15300</v>
      </c>
      <c r="I28" s="20" t="n">
        <f aca="false">F28-G28-H28</f>
        <v>24480</v>
      </c>
      <c r="J28" s="20" t="n">
        <f aca="false">CHOOSE(B28,Assumptions!$B$15,Assumptions!$B$16,Assumptions!$B$17)</f>
        <v>32000</v>
      </c>
      <c r="K28" s="20" t="n">
        <f aca="false">I28-J28</f>
        <v>-7520</v>
      </c>
      <c r="L28" s="20" t="n">
        <f aca="false">L27+K28</f>
        <v>-116000</v>
      </c>
      <c r="M28" s="21" t="str">
        <f aca="false">IF(K28&gt;0,A28,"")</f>
        <v/>
      </c>
    </row>
    <row r="29" customFormat="false" ht="15" hidden="false" customHeight="false" outlineLevel="0" collapsed="false">
      <c r="A29" s="22" t="n">
        <v>26</v>
      </c>
      <c r="B29" s="22" t="n">
        <f aca="false">INT((A29-1)/12)+1</f>
        <v>3</v>
      </c>
      <c r="C29" s="23" t="n">
        <f aca="false">C28+Assumptions!$B$10</f>
        <v>53</v>
      </c>
      <c r="D29" s="24" t="n">
        <f aca="false">Assumptions!$B$11</f>
        <v>2</v>
      </c>
      <c r="E29" s="23" t="n">
        <f aca="false">C29*D29</f>
        <v>106</v>
      </c>
      <c r="F29" s="25" t="n">
        <f aca="false">E29*Assumptions!$B$7</f>
        <v>47700</v>
      </c>
      <c r="G29" s="25" t="n">
        <f aca="false">E29*Assumptions!$B$13</f>
        <v>6360</v>
      </c>
      <c r="H29" s="25" t="n">
        <f aca="false">E29*Assumptions!$B$14</f>
        <v>15900</v>
      </c>
      <c r="I29" s="25" t="n">
        <f aca="false">F29-G29-H29</f>
        <v>25440</v>
      </c>
      <c r="J29" s="25" t="n">
        <f aca="false">CHOOSE(B29,Assumptions!$B$15,Assumptions!$B$16,Assumptions!$B$17)</f>
        <v>32000</v>
      </c>
      <c r="K29" s="25" t="n">
        <f aca="false">I29-J29</f>
        <v>-6560</v>
      </c>
      <c r="L29" s="25" t="n">
        <f aca="false">L28+K29</f>
        <v>-122560</v>
      </c>
      <c r="M29" s="21" t="str">
        <f aca="false">IF(K29&gt;0,A29,"")</f>
        <v/>
      </c>
    </row>
    <row r="30" customFormat="false" ht="15" hidden="false" customHeight="false" outlineLevel="0" collapsed="false">
      <c r="A30" s="17" t="n">
        <v>27</v>
      </c>
      <c r="B30" s="17" t="n">
        <f aca="false">INT((A30-1)/12)+1</f>
        <v>3</v>
      </c>
      <c r="C30" s="18" t="n">
        <f aca="false">C29+Assumptions!$B$10</f>
        <v>55</v>
      </c>
      <c r="D30" s="19" t="n">
        <f aca="false">Assumptions!$B$11</f>
        <v>2</v>
      </c>
      <c r="E30" s="18" t="n">
        <f aca="false">C30*D30</f>
        <v>110</v>
      </c>
      <c r="F30" s="20" t="n">
        <f aca="false">E30*Assumptions!$B$7</f>
        <v>49500</v>
      </c>
      <c r="G30" s="20" t="n">
        <f aca="false">E30*Assumptions!$B$13</f>
        <v>6600</v>
      </c>
      <c r="H30" s="20" t="n">
        <f aca="false">E30*Assumptions!$B$14</f>
        <v>16500</v>
      </c>
      <c r="I30" s="20" t="n">
        <f aca="false">F30-G30-H30</f>
        <v>26400</v>
      </c>
      <c r="J30" s="20" t="n">
        <f aca="false">CHOOSE(B30,Assumptions!$B$15,Assumptions!$B$16,Assumptions!$B$17)</f>
        <v>32000</v>
      </c>
      <c r="K30" s="20" t="n">
        <f aca="false">I30-J30</f>
        <v>-5600</v>
      </c>
      <c r="L30" s="20" t="n">
        <f aca="false">L29+K30</f>
        <v>-128160</v>
      </c>
      <c r="M30" s="21" t="str">
        <f aca="false">IF(K30&gt;0,A30,"")</f>
        <v/>
      </c>
    </row>
    <row r="31" customFormat="false" ht="15" hidden="false" customHeight="false" outlineLevel="0" collapsed="false">
      <c r="A31" s="22" t="n">
        <v>28</v>
      </c>
      <c r="B31" s="22" t="n">
        <f aca="false">INT((A31-1)/12)+1</f>
        <v>3</v>
      </c>
      <c r="C31" s="23" t="n">
        <f aca="false">C30+Assumptions!$B$10</f>
        <v>57</v>
      </c>
      <c r="D31" s="24" t="n">
        <f aca="false">Assumptions!$B$11</f>
        <v>2</v>
      </c>
      <c r="E31" s="23" t="n">
        <f aca="false">C31*D31</f>
        <v>114</v>
      </c>
      <c r="F31" s="25" t="n">
        <f aca="false">E31*Assumptions!$B$7</f>
        <v>51300</v>
      </c>
      <c r="G31" s="25" t="n">
        <f aca="false">E31*Assumptions!$B$13</f>
        <v>6840</v>
      </c>
      <c r="H31" s="25" t="n">
        <f aca="false">E31*Assumptions!$B$14</f>
        <v>17100</v>
      </c>
      <c r="I31" s="25" t="n">
        <f aca="false">F31-G31-H31</f>
        <v>27360</v>
      </c>
      <c r="J31" s="25" t="n">
        <f aca="false">CHOOSE(B31,Assumptions!$B$15,Assumptions!$B$16,Assumptions!$B$17)</f>
        <v>32000</v>
      </c>
      <c r="K31" s="25" t="n">
        <f aca="false">I31-J31</f>
        <v>-4640</v>
      </c>
      <c r="L31" s="25" t="n">
        <f aca="false">L30+K31</f>
        <v>-132800</v>
      </c>
      <c r="M31" s="21" t="str">
        <f aca="false">IF(K31&gt;0,A31,"")</f>
        <v/>
      </c>
    </row>
    <row r="32" customFormat="false" ht="15" hidden="false" customHeight="false" outlineLevel="0" collapsed="false">
      <c r="A32" s="17" t="n">
        <v>29</v>
      </c>
      <c r="B32" s="17" t="n">
        <f aca="false">INT((A32-1)/12)+1</f>
        <v>3</v>
      </c>
      <c r="C32" s="18" t="n">
        <f aca="false">C31+Assumptions!$B$10</f>
        <v>59</v>
      </c>
      <c r="D32" s="19" t="n">
        <f aca="false">Assumptions!$B$11</f>
        <v>2</v>
      </c>
      <c r="E32" s="18" t="n">
        <f aca="false">C32*D32</f>
        <v>118</v>
      </c>
      <c r="F32" s="20" t="n">
        <f aca="false">E32*Assumptions!$B$7</f>
        <v>53100</v>
      </c>
      <c r="G32" s="20" t="n">
        <f aca="false">E32*Assumptions!$B$13</f>
        <v>7080</v>
      </c>
      <c r="H32" s="20" t="n">
        <f aca="false">E32*Assumptions!$B$14</f>
        <v>17700</v>
      </c>
      <c r="I32" s="20" t="n">
        <f aca="false">F32-G32-H32</f>
        <v>28320</v>
      </c>
      <c r="J32" s="20" t="n">
        <f aca="false">CHOOSE(B32,Assumptions!$B$15,Assumptions!$B$16,Assumptions!$B$17)</f>
        <v>32000</v>
      </c>
      <c r="K32" s="20" t="n">
        <f aca="false">I32-J32</f>
        <v>-3680</v>
      </c>
      <c r="L32" s="20" t="n">
        <f aca="false">L31+K32</f>
        <v>-136480</v>
      </c>
      <c r="M32" s="21" t="str">
        <f aca="false">IF(K32&gt;0,A32,"")</f>
        <v/>
      </c>
    </row>
    <row r="33" customFormat="false" ht="15" hidden="false" customHeight="false" outlineLevel="0" collapsed="false">
      <c r="A33" s="22" t="n">
        <v>30</v>
      </c>
      <c r="B33" s="22" t="n">
        <f aca="false">INT((A33-1)/12)+1</f>
        <v>3</v>
      </c>
      <c r="C33" s="23" t="n">
        <f aca="false">C32+Assumptions!$B$10</f>
        <v>61</v>
      </c>
      <c r="D33" s="24" t="n">
        <f aca="false">Assumptions!$B$11</f>
        <v>2</v>
      </c>
      <c r="E33" s="23" t="n">
        <f aca="false">C33*D33</f>
        <v>122</v>
      </c>
      <c r="F33" s="25" t="n">
        <f aca="false">E33*Assumptions!$B$7</f>
        <v>54900</v>
      </c>
      <c r="G33" s="25" t="n">
        <f aca="false">E33*Assumptions!$B$13</f>
        <v>7320</v>
      </c>
      <c r="H33" s="25" t="n">
        <f aca="false">E33*Assumptions!$B$14</f>
        <v>18300</v>
      </c>
      <c r="I33" s="25" t="n">
        <f aca="false">F33-G33-H33</f>
        <v>29280</v>
      </c>
      <c r="J33" s="25" t="n">
        <f aca="false">CHOOSE(B33,Assumptions!$B$15,Assumptions!$B$16,Assumptions!$B$17)</f>
        <v>32000</v>
      </c>
      <c r="K33" s="25" t="n">
        <f aca="false">I33-J33</f>
        <v>-2720</v>
      </c>
      <c r="L33" s="25" t="n">
        <f aca="false">L32+K33</f>
        <v>-139200</v>
      </c>
      <c r="M33" s="21" t="str">
        <f aca="false">IF(K33&gt;0,A33,"")</f>
        <v/>
      </c>
    </row>
    <row r="34" customFormat="false" ht="15" hidden="false" customHeight="false" outlineLevel="0" collapsed="false">
      <c r="A34" s="17" t="n">
        <v>31</v>
      </c>
      <c r="B34" s="17" t="n">
        <f aca="false">INT((A34-1)/12)+1</f>
        <v>3</v>
      </c>
      <c r="C34" s="18" t="n">
        <f aca="false">C33+Assumptions!$B$10</f>
        <v>63</v>
      </c>
      <c r="D34" s="19" t="n">
        <f aca="false">Assumptions!$B$11</f>
        <v>2</v>
      </c>
      <c r="E34" s="18" t="n">
        <f aca="false">C34*D34</f>
        <v>126</v>
      </c>
      <c r="F34" s="20" t="n">
        <f aca="false">E34*Assumptions!$B$7</f>
        <v>56700</v>
      </c>
      <c r="G34" s="20" t="n">
        <f aca="false">E34*Assumptions!$B$13</f>
        <v>7560</v>
      </c>
      <c r="H34" s="20" t="n">
        <f aca="false">E34*Assumptions!$B$14</f>
        <v>18900</v>
      </c>
      <c r="I34" s="20" t="n">
        <f aca="false">F34-G34-H34</f>
        <v>30240</v>
      </c>
      <c r="J34" s="20" t="n">
        <f aca="false">CHOOSE(B34,Assumptions!$B$15,Assumptions!$B$16,Assumptions!$B$17)</f>
        <v>32000</v>
      </c>
      <c r="K34" s="20" t="n">
        <f aca="false">I34-J34</f>
        <v>-1760</v>
      </c>
      <c r="L34" s="20" t="n">
        <f aca="false">L33+K34</f>
        <v>-140960</v>
      </c>
      <c r="M34" s="21" t="str">
        <f aca="false">IF(K34&gt;0,A34,"")</f>
        <v/>
      </c>
    </row>
    <row r="35" customFormat="false" ht="15" hidden="false" customHeight="false" outlineLevel="0" collapsed="false">
      <c r="A35" s="22" t="n">
        <v>32</v>
      </c>
      <c r="B35" s="22" t="n">
        <f aca="false">INT((A35-1)/12)+1</f>
        <v>3</v>
      </c>
      <c r="C35" s="23" t="n">
        <f aca="false">C34+Assumptions!$B$10</f>
        <v>65</v>
      </c>
      <c r="D35" s="24" t="n">
        <f aca="false">Assumptions!$B$11</f>
        <v>2</v>
      </c>
      <c r="E35" s="23" t="n">
        <f aca="false">C35*D35</f>
        <v>130</v>
      </c>
      <c r="F35" s="25" t="n">
        <f aca="false">E35*Assumptions!$B$7</f>
        <v>58500</v>
      </c>
      <c r="G35" s="25" t="n">
        <f aca="false">E35*Assumptions!$B$13</f>
        <v>7800</v>
      </c>
      <c r="H35" s="25" t="n">
        <f aca="false">E35*Assumptions!$B$14</f>
        <v>19500</v>
      </c>
      <c r="I35" s="25" t="n">
        <f aca="false">F35-G35-H35</f>
        <v>31200</v>
      </c>
      <c r="J35" s="25" t="n">
        <f aca="false">CHOOSE(B35,Assumptions!$B$15,Assumptions!$B$16,Assumptions!$B$17)</f>
        <v>32000</v>
      </c>
      <c r="K35" s="25" t="n">
        <f aca="false">I35-J35</f>
        <v>-800</v>
      </c>
      <c r="L35" s="25" t="n">
        <f aca="false">L34+K35</f>
        <v>-141760</v>
      </c>
      <c r="M35" s="21" t="str">
        <f aca="false">IF(K35&gt;0,A35,"")</f>
        <v/>
      </c>
    </row>
    <row r="36" customFormat="false" ht="15" hidden="false" customHeight="false" outlineLevel="0" collapsed="false">
      <c r="A36" s="17" t="n">
        <v>33</v>
      </c>
      <c r="B36" s="17" t="n">
        <f aca="false">INT((A36-1)/12)+1</f>
        <v>3</v>
      </c>
      <c r="C36" s="18" t="n">
        <f aca="false">C35+Assumptions!$B$10</f>
        <v>67</v>
      </c>
      <c r="D36" s="19" t="n">
        <f aca="false">Assumptions!$B$11</f>
        <v>2</v>
      </c>
      <c r="E36" s="18" t="n">
        <f aca="false">C36*D36</f>
        <v>134</v>
      </c>
      <c r="F36" s="20" t="n">
        <f aca="false">E36*Assumptions!$B$7</f>
        <v>60300</v>
      </c>
      <c r="G36" s="20" t="n">
        <f aca="false">E36*Assumptions!$B$13</f>
        <v>8040</v>
      </c>
      <c r="H36" s="20" t="n">
        <f aca="false">E36*Assumptions!$B$14</f>
        <v>20100</v>
      </c>
      <c r="I36" s="20" t="n">
        <f aca="false">F36-G36-H36</f>
        <v>32160</v>
      </c>
      <c r="J36" s="20" t="n">
        <f aca="false">CHOOSE(B36,Assumptions!$B$15,Assumptions!$B$16,Assumptions!$B$17)</f>
        <v>32000</v>
      </c>
      <c r="K36" s="20" t="n">
        <f aca="false">I36-J36</f>
        <v>160</v>
      </c>
      <c r="L36" s="20" t="n">
        <f aca="false">L35+K36</f>
        <v>-141600</v>
      </c>
      <c r="M36" s="21" t="n">
        <f aca="false">IF(K36&gt;0,A36,"")</f>
        <v>33</v>
      </c>
    </row>
    <row r="37" customFormat="false" ht="15" hidden="false" customHeight="false" outlineLevel="0" collapsed="false">
      <c r="A37" s="22" t="n">
        <v>34</v>
      </c>
      <c r="B37" s="22" t="n">
        <f aca="false">INT((A37-1)/12)+1</f>
        <v>3</v>
      </c>
      <c r="C37" s="23" t="n">
        <f aca="false">C36+Assumptions!$B$10</f>
        <v>69</v>
      </c>
      <c r="D37" s="24" t="n">
        <f aca="false">Assumptions!$B$11</f>
        <v>2</v>
      </c>
      <c r="E37" s="23" t="n">
        <f aca="false">C37*D37</f>
        <v>138</v>
      </c>
      <c r="F37" s="25" t="n">
        <f aca="false">E37*Assumptions!$B$7</f>
        <v>62100</v>
      </c>
      <c r="G37" s="25" t="n">
        <f aca="false">E37*Assumptions!$B$13</f>
        <v>8280</v>
      </c>
      <c r="H37" s="25" t="n">
        <f aca="false">E37*Assumptions!$B$14</f>
        <v>20700</v>
      </c>
      <c r="I37" s="25" t="n">
        <f aca="false">F37-G37-H37</f>
        <v>33120</v>
      </c>
      <c r="J37" s="25" t="n">
        <f aca="false">CHOOSE(B37,Assumptions!$B$15,Assumptions!$B$16,Assumptions!$B$17)</f>
        <v>32000</v>
      </c>
      <c r="K37" s="25" t="n">
        <f aca="false">I37-J37</f>
        <v>1120</v>
      </c>
      <c r="L37" s="25" t="n">
        <f aca="false">L36+K37</f>
        <v>-140480</v>
      </c>
      <c r="M37" s="21" t="n">
        <f aca="false">IF(K37&gt;0,A37,"")</f>
        <v>34</v>
      </c>
    </row>
    <row r="38" customFormat="false" ht="15" hidden="false" customHeight="false" outlineLevel="0" collapsed="false">
      <c r="A38" s="17" t="n">
        <v>35</v>
      </c>
      <c r="B38" s="17" t="n">
        <f aca="false">INT((A38-1)/12)+1</f>
        <v>3</v>
      </c>
      <c r="C38" s="18" t="n">
        <f aca="false">C37+Assumptions!$B$10</f>
        <v>71</v>
      </c>
      <c r="D38" s="19" t="n">
        <f aca="false">Assumptions!$B$11</f>
        <v>2</v>
      </c>
      <c r="E38" s="18" t="n">
        <f aca="false">C38*D38</f>
        <v>142</v>
      </c>
      <c r="F38" s="20" t="n">
        <f aca="false">E38*Assumptions!$B$7</f>
        <v>63900</v>
      </c>
      <c r="G38" s="20" t="n">
        <f aca="false">E38*Assumptions!$B$13</f>
        <v>8520</v>
      </c>
      <c r="H38" s="20" t="n">
        <f aca="false">E38*Assumptions!$B$14</f>
        <v>21300</v>
      </c>
      <c r="I38" s="20" t="n">
        <f aca="false">F38-G38-H38</f>
        <v>34080</v>
      </c>
      <c r="J38" s="20" t="n">
        <f aca="false">CHOOSE(B38,Assumptions!$B$15,Assumptions!$B$16,Assumptions!$B$17)</f>
        <v>32000</v>
      </c>
      <c r="K38" s="20" t="n">
        <f aca="false">I38-J38</f>
        <v>2080</v>
      </c>
      <c r="L38" s="20" t="n">
        <f aca="false">L37+K38</f>
        <v>-138400</v>
      </c>
      <c r="M38" s="21" t="n">
        <f aca="false">IF(K38&gt;0,A38,"")</f>
        <v>35</v>
      </c>
    </row>
    <row r="39" customFormat="false" ht="15" hidden="false" customHeight="false" outlineLevel="0" collapsed="false">
      <c r="A39" s="22" t="n">
        <v>36</v>
      </c>
      <c r="B39" s="22" t="n">
        <f aca="false">INT((A39-1)/12)+1</f>
        <v>3</v>
      </c>
      <c r="C39" s="23" t="n">
        <f aca="false">C38+Assumptions!$B$10</f>
        <v>73</v>
      </c>
      <c r="D39" s="24" t="n">
        <f aca="false">Assumptions!$B$11</f>
        <v>2</v>
      </c>
      <c r="E39" s="23" t="n">
        <f aca="false">C39*D39</f>
        <v>146</v>
      </c>
      <c r="F39" s="25" t="n">
        <f aca="false">E39*Assumptions!$B$7</f>
        <v>65700</v>
      </c>
      <c r="G39" s="25" t="n">
        <f aca="false">E39*Assumptions!$B$13</f>
        <v>8760</v>
      </c>
      <c r="H39" s="25" t="n">
        <f aca="false">E39*Assumptions!$B$14</f>
        <v>21900</v>
      </c>
      <c r="I39" s="25" t="n">
        <f aca="false">F39-G39-H39</f>
        <v>35040</v>
      </c>
      <c r="J39" s="25" t="n">
        <f aca="false">CHOOSE(B39,Assumptions!$B$15,Assumptions!$B$16,Assumptions!$B$17)</f>
        <v>32000</v>
      </c>
      <c r="K39" s="25" t="n">
        <f aca="false">I39-J39</f>
        <v>3040</v>
      </c>
      <c r="L39" s="25" t="n">
        <f aca="false">L38+K39</f>
        <v>-135360</v>
      </c>
      <c r="M39" s="21" t="n">
        <f aca="false">IF(K39&gt;0,A39,"")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7"/>
  </cols>
  <sheetData>
    <row r="1" customFormat="false" ht="18.5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26" t="s">
        <v>29</v>
      </c>
      <c r="B4" s="26" t="s">
        <v>32</v>
      </c>
      <c r="C4" s="26" t="s">
        <v>33</v>
      </c>
      <c r="D4" s="26" t="s">
        <v>36</v>
      </c>
      <c r="E4" s="26" t="s">
        <v>37</v>
      </c>
      <c r="F4" s="26" t="s">
        <v>38</v>
      </c>
    </row>
    <row r="5" customFormat="false" ht="15" hidden="false" customHeight="false" outlineLevel="0" collapsed="false">
      <c r="A5" s="27" t="s">
        <v>43</v>
      </c>
      <c r="B5" s="28" t="n">
        <f aca="false">SUMIF('Monthly Model'!$B$4:$B$39,1,'Monthly Model'!$E$4:$E$39)</f>
        <v>336</v>
      </c>
      <c r="C5" s="29" t="n">
        <f aca="false">SUMIF('Monthly Model'!$B$4:$B$39,1,'Monthly Model'!$F$4:$F$39)</f>
        <v>151200</v>
      </c>
      <c r="D5" s="29" t="n">
        <f aca="false">SUMIF('Monthly Model'!$B$4:$B$39,1,'Monthly Model'!$I$4:$I$39)</f>
        <v>80640</v>
      </c>
      <c r="E5" s="29" t="n">
        <f aca="false">SUMIF('Monthly Model'!$B$4:$B$39,1,'Monthly Model'!$J$4:$J$39)</f>
        <v>144000</v>
      </c>
      <c r="F5" s="29" t="n">
        <f aca="false">SUMIF('Monthly Model'!$B$4:$B$39,1,'Monthly Model'!$K$4:$K$39)</f>
        <v>-63360</v>
      </c>
    </row>
    <row r="6" customFormat="false" ht="15" hidden="false" customHeight="false" outlineLevel="0" collapsed="false">
      <c r="A6" s="27" t="s">
        <v>44</v>
      </c>
      <c r="B6" s="30" t="n">
        <f aca="false">SUMIF('Monthly Model'!$B$4:$B$39,2,'Monthly Model'!$E$4:$E$39)</f>
        <v>912</v>
      </c>
      <c r="C6" s="31" t="n">
        <f aca="false">SUMIF('Monthly Model'!$B$4:$B$39,2,'Monthly Model'!$F$4:$F$39)</f>
        <v>410400</v>
      </c>
      <c r="D6" s="31" t="n">
        <f aca="false">SUMIF('Monthly Model'!$B$4:$B$39,2,'Monthly Model'!$I$4:$I$39)</f>
        <v>218880</v>
      </c>
      <c r="E6" s="31" t="n">
        <f aca="false">SUMIF('Monthly Model'!$B$4:$B$39,2,'Monthly Model'!$J$4:$J$39)</f>
        <v>264000</v>
      </c>
      <c r="F6" s="31" t="n">
        <f aca="false">SUMIF('Monthly Model'!$B$4:$B$39,2,'Monthly Model'!$K$4:$K$39)</f>
        <v>-45120</v>
      </c>
    </row>
    <row r="7" customFormat="false" ht="15" hidden="false" customHeight="false" outlineLevel="0" collapsed="false">
      <c r="A7" s="27" t="s">
        <v>45</v>
      </c>
      <c r="B7" s="28" t="n">
        <f aca="false">SUMIF('Monthly Model'!$B$4:$B$39,3,'Monthly Model'!$E$4:$E$39)</f>
        <v>1488</v>
      </c>
      <c r="C7" s="29" t="n">
        <f aca="false">SUMIF('Monthly Model'!$B$4:$B$39,3,'Monthly Model'!$F$4:$F$39)</f>
        <v>669600</v>
      </c>
      <c r="D7" s="29" t="n">
        <f aca="false">SUMIF('Monthly Model'!$B$4:$B$39,3,'Monthly Model'!$I$4:$I$39)</f>
        <v>357120</v>
      </c>
      <c r="E7" s="29" t="n">
        <f aca="false">SUMIF('Monthly Model'!$B$4:$B$39,3,'Monthly Model'!$J$4:$J$39)</f>
        <v>384000</v>
      </c>
      <c r="F7" s="29" t="n">
        <f aca="false">SUMIF('Monthly Model'!$B$4:$B$39,3,'Monthly Model'!$K$4:$K$39)</f>
        <v>-26880</v>
      </c>
    </row>
    <row r="8" customFormat="false" ht="15" hidden="false" customHeight="false" outlineLevel="0" collapsed="false">
      <c r="A8" s="32" t="s">
        <v>46</v>
      </c>
      <c r="B8" s="33" t="n">
        <f aca="false">SUM(B5:B7)</f>
        <v>2736</v>
      </c>
      <c r="C8" s="34" t="n">
        <f aca="false">SUM(C5:C7)</f>
        <v>1231200</v>
      </c>
      <c r="D8" s="34" t="n">
        <f aca="false">SUM(D5:D7)</f>
        <v>656640</v>
      </c>
      <c r="E8" s="34" t="n">
        <f aca="false">SUM(E5:E7)</f>
        <v>792000</v>
      </c>
      <c r="F8" s="34" t="n">
        <f aca="false">SUM(F5:F7)</f>
        <v>-135360</v>
      </c>
    </row>
    <row r="10" customFormat="false" ht="15" hidden="false" customHeight="false" outlineLevel="0" collapsed="false">
      <c r="A10" s="35" t="s">
        <v>47</v>
      </c>
    </row>
    <row r="11" customFormat="false" ht="15" hidden="false" customHeight="false" outlineLevel="0" collapsed="false">
      <c r="A11" s="12" t="s">
        <v>7</v>
      </c>
      <c r="B11" s="13" t="n">
        <f aca="false">Assumptions!B7</f>
        <v>450</v>
      </c>
    </row>
    <row r="12" customFormat="false" ht="15" hidden="false" customHeight="false" outlineLevel="0" collapsed="false">
      <c r="A12" s="12" t="s">
        <v>25</v>
      </c>
      <c r="B12" s="14" t="n">
        <f aca="false">Assumptions!B20</f>
        <v>0.533333333333333</v>
      </c>
    </row>
    <row r="13" customFormat="false" ht="15" hidden="false" customHeight="false" outlineLevel="0" collapsed="false">
      <c r="A13" s="12" t="s">
        <v>48</v>
      </c>
      <c r="B13" s="13" t="n">
        <f aca="false">'Monthly Model'!F39</f>
        <v>65700</v>
      </c>
    </row>
    <row r="14" customFormat="false" ht="15" hidden="false" customHeight="false" outlineLevel="0" collapsed="false">
      <c r="A14" s="12" t="s">
        <v>49</v>
      </c>
      <c r="B14" s="36" t="n">
        <f aca="false">IFERROR(MIN('Monthly Model'!M4:M39),"beyond 36m")</f>
        <v>23</v>
      </c>
    </row>
    <row r="15" customFormat="false" ht="15" hidden="false" customHeight="false" outlineLevel="0" collapsed="false">
      <c r="A15" s="12" t="s">
        <v>50</v>
      </c>
      <c r="B15" s="13" t="n">
        <f aca="false">MAX(0,-MIN('Monthly Model'!L4:L39))</f>
        <v>141760</v>
      </c>
    </row>
    <row r="16" customFormat="false" ht="15" hidden="false" customHeight="false" outlineLevel="0" collapsed="false">
      <c r="A16" s="12" t="s">
        <v>51</v>
      </c>
      <c r="B16" s="37" t="n">
        <f aca="false">B8</f>
        <v>2736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2026-07-01T14:35:11Z</dcterms:created>
  <dc:creator>openpyxl</dc:creator>
  <dc:description/>
  <dc:language>en-US</dc:language>
  <cp:lastModifiedBy/>
  <dcterms:modified xsi:type="dcterms:W3CDTF">2026-07-01T14:35:15Z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