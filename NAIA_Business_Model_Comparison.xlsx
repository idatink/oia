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Monthly Engine" sheetId="2" state="visible" r:id="rId4"/>
    <sheet name="Compariso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<sst xmlns="http://schemas.openxmlformats.org/spreadsheetml/2006/main" count="97" uniqueCount="79">
  <si>
    <t xml:space="preserve">NAIA — Business Model Comparison — Assumptions</t>
  </si>
  <si>
    <t xml:space="preserve">Same clinic &amp; booking ramp drives all three models, so differences are purely the revenue model. Costs held constant to isolate that effect. Edit blue cells.</t>
  </si>
  <si>
    <t xml:space="preserve">SHARED GROWTH DRIVERS</t>
  </si>
  <si>
    <t xml:space="preserve">Starting active clinics (month 1)</t>
  </si>
  <si>
    <t xml:space="preserve">New clinics added / month</t>
  </si>
  <si>
    <t xml:space="preserve">Bookings per clinic / month</t>
  </si>
  <si>
    <t xml:space="preserve">SHARED COSTS</t>
  </si>
  <si>
    <t xml:space="preserve">Ops cost / booking (£)</t>
  </si>
  <si>
    <t xml:space="preserve">CAC / booking (£)</t>
  </si>
  <si>
    <t xml:space="preserve">NAIA drives demand in all models</t>
  </si>
  <si>
    <t xml:space="preserve">Fixed opex / month — Year 1 (£)</t>
  </si>
  <si>
    <t xml:space="preserve">Fixed opex / month — Year 2 (£)</t>
  </si>
  <si>
    <t xml:space="preserve">Fixed opex / month — Year 3 (£)</t>
  </si>
  <si>
    <t xml:space="preserve">MODEL 1 — COMMISSION (Airbnb)</t>
  </si>
  <si>
    <t xml:space="preserve">Average procedure value (£)</t>
  </si>
  <si>
    <t xml:space="preserve">Commission / take rate (%)</t>
  </si>
  <si>
    <t xml:space="preserve">Revenue per booking (£)</t>
  </si>
  <si>
    <t xml:space="preserve">MODEL 2 — SUBSCRIPTION (Unni)</t>
  </si>
  <si>
    <t xml:space="preserve">Subscription fee / clinic / month (£)</t>
  </si>
  <si>
    <t xml:space="preserve">Must cover demand-gen; ~Unni ≈ $730/mo</t>
  </si>
  <si>
    <t xml:space="preserve">MODEL 3 — HYBRID</t>
  </si>
  <si>
    <t xml:space="preserve">Subscription / clinic / month (£)</t>
  </si>
  <si>
    <t xml:space="preserve">Performance / marketing fee (%)</t>
  </si>
  <si>
    <t xml:space="preserve">Compliant marketing fee, not per-patient kickback</t>
  </si>
  <si>
    <t xml:space="preserve">Hybrid revenue per booking (£)</t>
  </si>
  <si>
    <t xml:space="preserve">36-Month Engine — one ramp, three revenue models</t>
  </si>
  <si>
    <t xml:space="preserve">Month</t>
  </si>
  <si>
    <t xml:space="preserve">Yr</t>
  </si>
  <si>
    <t xml:space="preserve">Active clinics</t>
  </si>
  <si>
    <t xml:space="preserve">Total bookings</t>
  </si>
  <si>
    <t xml:space="preserve">Rev: Commission</t>
  </si>
  <si>
    <t xml:space="preserve">Rev: Subscription</t>
  </si>
  <si>
    <t xml:space="preserve">Rev: Hybrid</t>
  </si>
  <si>
    <t xml:space="preserve">Ops cost</t>
  </si>
  <si>
    <t xml:space="preserve">CAC</t>
  </si>
  <si>
    <t xml:space="preserve">Fixed opex</t>
  </si>
  <si>
    <t xml:space="preserve">Net: Commission</t>
  </si>
  <si>
    <t xml:space="preserve">Net: Subscription</t>
  </si>
  <si>
    <t xml:space="preserve">Net: Hybrid</t>
  </si>
  <si>
    <t xml:space="preserve">NAIA — Business Model Comparison</t>
  </si>
  <si>
    <t xml:space="preserve">Commission vs Subscription vs Hybrid · identical clinic/booking ramp &amp; cost base</t>
  </si>
  <si>
    <t xml:space="preserve">REVENUE (£)</t>
  </si>
  <si>
    <t xml:space="preserve">Model</t>
  </si>
  <si>
    <t xml:space="preserve">Year 1</t>
  </si>
  <si>
    <t xml:space="preserve">Year 2</t>
  </si>
  <si>
    <t xml:space="preserve">Year 3</t>
  </si>
  <si>
    <t xml:space="preserve">3-yr total</t>
  </si>
  <si>
    <t xml:space="preserve">Y3 exit run-rate /mo</t>
  </si>
  <si>
    <t xml:space="preserve">Commission</t>
  </si>
  <si>
    <t xml:space="preserve">Subscription</t>
  </si>
  <si>
    <t xml:space="preserve">Hybrid</t>
  </si>
  <si>
    <t xml:space="preserve">NET PROFIT (£)  — same cost base</t>
  </si>
  <si>
    <t xml:space="preserve">BEYOND THE NUMBERS</t>
  </si>
  <si>
    <t xml:space="preserve">Factor</t>
  </si>
  <si>
    <t xml:space="preserve">Revenue potential</t>
  </si>
  <si>
    <t xml:space="preserve">High</t>
  </si>
  <si>
    <t xml:space="preserve">Lower</t>
  </si>
  <si>
    <t xml:space="preserve">Medium-High</t>
  </si>
  <si>
    <t xml:space="preserve">Revenue predictability</t>
  </si>
  <si>
    <t xml:space="preserve">Low (transactional)</t>
  </si>
  <si>
    <t xml:space="preserve">High (recurring)</t>
  </si>
  <si>
    <t xml:space="preserve">Regulatory risk (patient referral)</t>
  </si>
  <si>
    <t xml:space="preserve">Higher</t>
  </si>
  <si>
    <t xml:space="preserve">Lowest</t>
  </si>
  <si>
    <t xml:space="preserve">Low-Medium</t>
  </si>
  <si>
    <t xml:space="preserve">Fit with NAIA trust brand</t>
  </si>
  <si>
    <t xml:space="preserve">Good</t>
  </si>
  <si>
    <t xml:space="preserve">Weaker (pay-for-placement)</t>
  </si>
  <si>
    <t xml:space="preserve">Ease of selling to clinics</t>
  </si>
  <si>
    <t xml:space="preserve">Harder (share upside)</t>
  </si>
  <si>
    <t xml:space="preserve">Easier (fixed cost)</t>
  </si>
  <si>
    <t xml:space="preserve">Medium</t>
  </si>
  <si>
    <t xml:space="preserve">Investor appeal</t>
  </si>
  <si>
    <t xml:space="preserve">GMV story</t>
  </si>
  <si>
    <t xml:space="preserve">SaaS multiple</t>
  </si>
  <si>
    <t xml:space="preserve">Balanced</t>
  </si>
  <si>
    <t xml:space="preserve">Note: costs held identical across models to isolate the revenue effect. In a real subscription model some demand-gen (CAC) shifts to clinics, improving its net. Not legal advice — confirm patient-referral rules per market.</t>
  </si>
  <si>
    <t xml:space="preserve">3-yr revenue</t>
  </si>
  <si>
    <t xml:space="preserve">3-yr net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</si>
</sst>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"/>
    <numFmt numFmtId="167" formatCode="\£#,##0;&quot;(£&quot;#,##0\);\-"/>
    <numFmt numFmtId="168" formatCode="0.0%"/>
    <numFmt numFmtId="169" formatCode="\£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C86446"/>
      <name val="Arial"/>
      <family val="0"/>
      <charset val="1"/>
    </font>
    <font>
      <i val="true"/>
      <sz val="9"/>
      <color rgb="FF6B676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C2A29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6B6763"/>
      <name val="Arial"/>
      <family val="0"/>
      <charset val="1"/>
    </font>
    <font>
      <b val="true"/>
      <sz val="14"/>
      <color rgb="FFC86446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2C2A29"/>
      <name val="Arial"/>
      <family val="0"/>
      <charset val="1"/>
    </font>
    <font>
      <b val="true"/>
      <sz val="11"/>
      <color rgb="FFC86446"/>
      <name val="Arial"/>
      <family val="0"/>
      <charset val="1"/>
    </font>
    <font>
      <sz val="10"/>
      <color rgb="FF2C2A29"/>
      <name val="Arial"/>
      <family val="0"/>
      <charset val="1"/>
    </font>
    <font>
      <b val="true"/>
      <sz val="9"/>
      <color rgb="FF2C2A2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86446"/>
        <bgColor rgb="FFC0504D"/>
      </patternFill>
    </fill>
    <fill>
      <patternFill patternType="solid">
        <fgColor rgb="FFF9F6F0"/>
        <bgColor rgb="FFFFF7E6"/>
      </patternFill>
    </fill>
    <fill>
      <patternFill patternType="solid">
        <fgColor rgb="FFFFF7E6"/>
        <bgColor rgb="FFF9F6F0"/>
      </patternFill>
    </fill>
    <fill>
      <patternFill patternType="solid">
        <fgColor rgb="FF2C2A29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2C9"/>
      </left>
      <right style="thin">
        <color rgb="FFD9D2C9"/>
      </right>
      <top style="thin">
        <color rgb="FFD9D2C9"/>
      </top>
      <bottom style="thin">
        <color rgb="FFD9D2C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2C9"/>
      <rgbColor rgb="FF878787"/>
      <rgbColor rgb="FF9999FF"/>
      <rgbColor rgb="FFC0504D"/>
      <rgbColor rgb="FFFFF7E6"/>
      <rgbColor rgb="FFF9F6F0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C86446"/>
      <rgbColor rgb="FF6B67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C2A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3-Year Revenue vs Net by Model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Comparison!B30</c:f>
              <c:strCache>
                <c:ptCount val="1"/>
                <c:pt idx="0">
                  <c:v>3-yr revenue</c:v>
                </c:pt>
              </c:strCache>
            </c:strRef>
          </c:tx>
          <c:spPr>
            <a:solidFill>
              <a:srgbClr val="4F81B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Comparison!$A$31:$A$33</c:f>
              <c:strCache>
                <c:ptCount val="3"/>
                <c:pt idx="0">
                  <c:v>Commission</c:v>
                </c:pt>
                <c:pt idx="1">
                  <c:v>Subscription</c:v>
                </c:pt>
                <c:pt idx="2">
                  <c:v>Hybrid</c:v>
                </c:pt>
              </c:strCache>
            </c:strRef>
          </c:cat>
          <c:val>
            <c:numRef>
              <c:f>Comparison!$B$31:$B$33</c:f>
              <c:numCache>
                <c:formatCode>\£#,##0;"(£"#,##0\);\-</c:formatCode>
                <c:ptCount val="3"/>
                <c:pt idx="0">
                  <c:v>1231200</c:v>
                </c:pt>
                <c:pt idx="1">
                  <c:v>820800</c:v>
                </c:pt>
                <c:pt idx="2">
                  <c:v>889200</c:v>
                </c:pt>
              </c:numCache>
            </c:numRef>
          </c:val>
        </c:ser>
        <c:ser>
          <c:idx val="1"/>
          <c:order val="1"/>
          <c:tx>
            <c:strRef>
              <c:f>Comparison!C30</c:f>
              <c:strCache>
                <c:ptCount val="1"/>
                <c:pt idx="0">
                  <c:v>3-yr net</c:v>
                </c:pt>
              </c:strCache>
            </c:strRef>
          </c:tx>
          <c:spPr>
            <a:solidFill>
              <a:srgbClr val="C0504D"/>
            </a:solidFill>
            <a:ln w="1260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Comparison!$A$31:$A$33</c:f>
              <c:strCache>
                <c:ptCount val="3"/>
                <c:pt idx="0">
                  <c:v>Commission</c:v>
                </c:pt>
                <c:pt idx="1">
                  <c:v>Subscription</c:v>
                </c:pt>
                <c:pt idx="2">
                  <c:v>Hybrid</c:v>
                </c:pt>
              </c:strCache>
            </c:strRef>
          </c:cat>
          <c:val>
            <c:numRef>
              <c:f>Comparison!$C$31:$C$33</c:f>
              <c:numCache>
                <c:formatCode>\£#,##0;"(£"#,##0\);\-</c:formatCode>
                <c:ptCount val="3"/>
                <c:pt idx="0">
                  <c:v>-135360</c:v>
                </c:pt>
                <c:pt idx="1">
                  <c:v>-545760</c:v>
                </c:pt>
                <c:pt idx="2">
                  <c:v>-477360</c:v>
                </c:pt>
              </c:numCache>
            </c:numRef>
          </c:val>
        </c:ser>
        <c:gapWidth val="150"/>
        <c:overlap val="0"/>
        <c:axId val="1947993"/>
        <c:axId val="19016826"/>
      </c:barChart>
      <c:catAx>
        <c:axId val="194799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016826"/>
        <c:crosses val="autoZero"/>
        <c:auto val="1"/>
        <c:lblAlgn val="ctr"/>
        <c:lblOffset val="100"/>
        <c:noMultiLvlLbl val="0"/>
      </c:catAx>
      <c:valAx>
        <c:axId val="1901682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£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947993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4</xdr:row>
      <xdr:rowOff>0</xdr:rowOff>
    </xdr:from>
    <xdr:to>
      <xdr:col>16</xdr:col>
      <xdr:colOff>256320</xdr:colOff>
      <xdr:row>17</xdr:row>
      <xdr:rowOff>178560</xdr:rowOff>
    </xdr:to>
    <xdr:graphicFrame>
      <xdr:nvGraphicFramePr>
        <xdr:cNvPr id="1" name="Chart 1"/>
        <xdr:cNvGraphicFramePr/>
      </xdr:nvGraphicFramePr>
      <xdr:xfrm>
        <a:off x="8717400" y="807120"/>
        <a:ext cx="575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5"/>
    <col collapsed="false" customWidth="true" hidden="false" outlineLevel="0" max="3" min="3" style="0" width="40"/>
  </cols>
  <sheetData>
    <row r="1" customFormat="false" ht="18.5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  <c r="B2" s="2"/>
      <c r="C2" s="2"/>
      <c r="D2" s="2"/>
    </row>
    <row r="4" customFormat="false" ht="15" hidden="false" customHeight="false" outlineLevel="0" collapsed="false">
      <c r="A4" s="3" t="s">
        <v>2</v>
      </c>
      <c r="B4" s="4"/>
      <c r="C4" s="4"/>
    </row>
    <row r="5" customFormat="false" ht="15" hidden="false" customHeight="false" outlineLevel="0" collapsed="false">
      <c r="A5" s="5" t="s">
        <v>3</v>
      </c>
      <c r="B5" s="6" t="n">
        <v>3</v>
      </c>
    </row>
    <row r="6" customFormat="false" ht="15" hidden="false" customHeight="false" outlineLevel="0" collapsed="false">
      <c r="A6" s="5" t="s">
        <v>4</v>
      </c>
      <c r="B6" s="6" t="n">
        <v>2</v>
      </c>
    </row>
    <row r="7" customFormat="false" ht="15" hidden="false" customHeight="false" outlineLevel="0" collapsed="false">
      <c r="A7" s="5" t="s">
        <v>5</v>
      </c>
      <c r="B7" s="7" t="n">
        <v>2</v>
      </c>
    </row>
    <row r="8" customFormat="false" ht="15" hidden="false" customHeight="false" outlineLevel="0" collapsed="false">
      <c r="A8" s="3" t="s">
        <v>6</v>
      </c>
      <c r="B8" s="4"/>
      <c r="C8" s="4"/>
    </row>
    <row r="9" customFormat="false" ht="15" hidden="false" customHeight="false" outlineLevel="0" collapsed="false">
      <c r="A9" s="5" t="s">
        <v>7</v>
      </c>
      <c r="B9" s="8" t="n">
        <v>60</v>
      </c>
    </row>
    <row r="10" customFormat="false" ht="15" hidden="false" customHeight="false" outlineLevel="0" collapsed="false">
      <c r="A10" s="5" t="s">
        <v>8</v>
      </c>
      <c r="B10" s="8" t="n">
        <v>150</v>
      </c>
      <c r="C10" s="9" t="s">
        <v>9</v>
      </c>
    </row>
    <row r="11" customFormat="false" ht="15" hidden="false" customHeight="false" outlineLevel="0" collapsed="false">
      <c r="A11" s="5" t="s">
        <v>10</v>
      </c>
      <c r="B11" s="8" t="n">
        <v>12000</v>
      </c>
    </row>
    <row r="12" customFormat="false" ht="15" hidden="false" customHeight="false" outlineLevel="0" collapsed="false">
      <c r="A12" s="5" t="s">
        <v>11</v>
      </c>
      <c r="B12" s="8" t="n">
        <v>22000</v>
      </c>
    </row>
    <row r="13" customFormat="false" ht="15" hidden="false" customHeight="false" outlineLevel="0" collapsed="false">
      <c r="A13" s="5" t="s">
        <v>12</v>
      </c>
      <c r="B13" s="8" t="n">
        <v>32000</v>
      </c>
    </row>
    <row r="14" customFormat="false" ht="15" hidden="false" customHeight="false" outlineLevel="0" collapsed="false">
      <c r="A14" s="3" t="s">
        <v>13</v>
      </c>
      <c r="B14" s="4"/>
      <c r="C14" s="4"/>
    </row>
    <row r="15" customFormat="false" ht="15" hidden="false" customHeight="false" outlineLevel="0" collapsed="false">
      <c r="A15" s="5" t="s">
        <v>14</v>
      </c>
      <c r="B15" s="8" t="n">
        <v>3000</v>
      </c>
    </row>
    <row r="16" customFormat="false" ht="15" hidden="false" customHeight="false" outlineLevel="0" collapsed="false">
      <c r="A16" s="5" t="s">
        <v>15</v>
      </c>
      <c r="B16" s="10" t="n">
        <v>0.15</v>
      </c>
    </row>
    <row r="17" customFormat="false" ht="15" hidden="false" customHeight="false" outlineLevel="0" collapsed="false">
      <c r="A17" s="5" t="s">
        <v>16</v>
      </c>
      <c r="B17" s="11" t="n">
        <f aca="false">B15*B16</f>
        <v>450</v>
      </c>
    </row>
    <row r="18" customFormat="false" ht="15" hidden="false" customHeight="false" outlineLevel="0" collapsed="false">
      <c r="A18" s="3" t="s">
        <v>17</v>
      </c>
      <c r="B18" s="4"/>
      <c r="C18" s="4"/>
    </row>
    <row r="19" customFormat="false" ht="15" hidden="false" customHeight="false" outlineLevel="0" collapsed="false">
      <c r="A19" s="5" t="s">
        <v>18</v>
      </c>
      <c r="B19" s="8" t="n">
        <v>600</v>
      </c>
      <c r="C19" s="9" t="s">
        <v>19</v>
      </c>
    </row>
    <row r="20" customFormat="false" ht="15" hidden="false" customHeight="false" outlineLevel="0" collapsed="false">
      <c r="A20" s="3" t="s">
        <v>20</v>
      </c>
      <c r="B20" s="4"/>
      <c r="C20" s="4"/>
    </row>
    <row r="21" customFormat="false" ht="15" hidden="false" customHeight="false" outlineLevel="0" collapsed="false">
      <c r="A21" s="5" t="s">
        <v>21</v>
      </c>
      <c r="B21" s="8" t="n">
        <v>200</v>
      </c>
    </row>
    <row r="22" customFormat="false" ht="15" hidden="false" customHeight="false" outlineLevel="0" collapsed="false">
      <c r="A22" s="5" t="s">
        <v>22</v>
      </c>
      <c r="B22" s="10" t="n">
        <v>0.075</v>
      </c>
      <c r="C22" s="9" t="s">
        <v>23</v>
      </c>
    </row>
    <row r="23" customFormat="false" ht="15" hidden="false" customHeight="false" outlineLevel="0" collapsed="false">
      <c r="A23" s="5" t="s">
        <v>24</v>
      </c>
      <c r="B23" s="11" t="n">
        <f aca="false">B15*B22</f>
        <v>225</v>
      </c>
    </row>
  </sheetData>
  <mergeCells count="1">
    <mergeCell ref="A2:D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5"/>
    <col collapsed="false" customWidth="true" hidden="false" outlineLevel="0" max="3" min="3" style="0" width="12"/>
    <col collapsed="false" customWidth="true" hidden="false" outlineLevel="0" max="4" min="4" style="0" width="11"/>
    <col collapsed="false" customWidth="true" hidden="false" outlineLevel="0" max="6" min="5" style="0" width="14"/>
    <col collapsed="false" customWidth="true" hidden="false" outlineLevel="0" max="7" min="7" style="0" width="13"/>
    <col collapsed="false" customWidth="true" hidden="false" outlineLevel="0" max="9" min="8" style="0" width="10"/>
    <col collapsed="false" customWidth="true" hidden="false" outlineLevel="0" max="10" min="10" style="0" width="11"/>
    <col collapsed="false" customWidth="true" hidden="false" outlineLevel="0" max="11" min="11" style="0" width="14"/>
    <col collapsed="false" customWidth="true" hidden="false" outlineLevel="0" max="12" min="12" style="0" width="15"/>
    <col collapsed="false" customWidth="true" hidden="false" outlineLevel="0" max="13" min="13" style="0" width="13"/>
  </cols>
  <sheetData>
    <row r="1" customFormat="false" ht="17.35" hidden="false" customHeight="false" outlineLevel="0" collapsed="false">
      <c r="A1" s="12" t="s">
        <v>25</v>
      </c>
    </row>
    <row r="3" customFormat="false" ht="22.35" hidden="false" customHeight="false" outlineLevel="0" collapsed="false">
      <c r="A3" s="13" t="s">
        <v>26</v>
      </c>
      <c r="B3" s="13" t="s">
        <v>27</v>
      </c>
      <c r="C3" s="13" t="s">
        <v>28</v>
      </c>
      <c r="D3" s="13" t="s">
        <v>29</v>
      </c>
      <c r="E3" s="13" t="s">
        <v>30</v>
      </c>
      <c r="F3" s="13" t="s">
        <v>31</v>
      </c>
      <c r="G3" s="13" t="s">
        <v>32</v>
      </c>
      <c r="H3" s="13" t="s">
        <v>33</v>
      </c>
      <c r="I3" s="13" t="s">
        <v>34</v>
      </c>
      <c r="J3" s="13" t="s">
        <v>35</v>
      </c>
      <c r="K3" s="13" t="s">
        <v>36</v>
      </c>
      <c r="L3" s="13" t="s">
        <v>37</v>
      </c>
      <c r="M3" s="13" t="s">
        <v>38</v>
      </c>
    </row>
    <row r="4" customFormat="false" ht="15" hidden="false" customHeight="false" outlineLevel="0" collapsed="false">
      <c r="A4" s="14" t="n">
        <v>1</v>
      </c>
      <c r="B4" s="14" t="n">
        <f aca="false">INT((A4-1)/12)+1</f>
        <v>1</v>
      </c>
      <c r="C4" s="15" t="n">
        <f aca="false">Assumptions!$B$5</f>
        <v>3</v>
      </c>
      <c r="D4" s="15" t="n">
        <f aca="false">C4*Assumptions!$B$7</f>
        <v>6</v>
      </c>
      <c r="E4" s="16" t="n">
        <f aca="false">D4*Assumptions!$B$17</f>
        <v>2700</v>
      </c>
      <c r="F4" s="16" t="n">
        <f aca="false">C4*Assumptions!$B$19</f>
        <v>1800</v>
      </c>
      <c r="G4" s="16" t="n">
        <f aca="false">C4*Assumptions!$B$21+D4*Assumptions!$B$23</f>
        <v>1950</v>
      </c>
      <c r="H4" s="16" t="n">
        <f aca="false">D4*Assumptions!$B$9</f>
        <v>360</v>
      </c>
      <c r="I4" s="16" t="n">
        <f aca="false">D4*Assumptions!$B$10</f>
        <v>900</v>
      </c>
      <c r="J4" s="16" t="n">
        <f aca="false">CHOOSE(B4,Assumptions!$B$11,Assumptions!$B$12,Assumptions!$B$13)</f>
        <v>12000</v>
      </c>
      <c r="K4" s="16" t="n">
        <f aca="false">E4-H4-I4-J4</f>
        <v>-10560</v>
      </c>
      <c r="L4" s="16" t="n">
        <f aca="false">F4-H4-I4-J4</f>
        <v>-11460</v>
      </c>
      <c r="M4" s="16" t="n">
        <f aca="false">G4-H4-I4-J4</f>
        <v>-11310</v>
      </c>
    </row>
    <row r="5" customFormat="false" ht="15" hidden="false" customHeight="false" outlineLevel="0" collapsed="false">
      <c r="A5" s="17" t="n">
        <v>2</v>
      </c>
      <c r="B5" s="17" t="n">
        <f aca="false">INT((A5-1)/12)+1</f>
        <v>1</v>
      </c>
      <c r="C5" s="18" t="n">
        <f aca="false">C4+Assumptions!$B$6</f>
        <v>5</v>
      </c>
      <c r="D5" s="18" t="n">
        <f aca="false">C5*Assumptions!$B$7</f>
        <v>10</v>
      </c>
      <c r="E5" s="19" t="n">
        <f aca="false">D5*Assumptions!$B$17</f>
        <v>4500</v>
      </c>
      <c r="F5" s="19" t="n">
        <f aca="false">C5*Assumptions!$B$19</f>
        <v>3000</v>
      </c>
      <c r="G5" s="19" t="n">
        <f aca="false">C5*Assumptions!$B$21+D5*Assumptions!$B$23</f>
        <v>3250</v>
      </c>
      <c r="H5" s="19" t="n">
        <f aca="false">D5*Assumptions!$B$9</f>
        <v>600</v>
      </c>
      <c r="I5" s="19" t="n">
        <f aca="false">D5*Assumptions!$B$10</f>
        <v>1500</v>
      </c>
      <c r="J5" s="19" t="n">
        <f aca="false">CHOOSE(B5,Assumptions!$B$11,Assumptions!$B$12,Assumptions!$B$13)</f>
        <v>12000</v>
      </c>
      <c r="K5" s="19" t="n">
        <f aca="false">E5-H5-I5-J5</f>
        <v>-9600</v>
      </c>
      <c r="L5" s="19" t="n">
        <f aca="false">F5-H5-I5-J5</f>
        <v>-11100</v>
      </c>
      <c r="M5" s="19" t="n">
        <f aca="false">G5-H5-I5-J5</f>
        <v>-10850</v>
      </c>
    </row>
    <row r="6" customFormat="false" ht="15" hidden="false" customHeight="false" outlineLevel="0" collapsed="false">
      <c r="A6" s="14" t="n">
        <v>3</v>
      </c>
      <c r="B6" s="14" t="n">
        <f aca="false">INT((A6-1)/12)+1</f>
        <v>1</v>
      </c>
      <c r="C6" s="15" t="n">
        <f aca="false">C5+Assumptions!$B$6</f>
        <v>7</v>
      </c>
      <c r="D6" s="15" t="n">
        <f aca="false">C6*Assumptions!$B$7</f>
        <v>14</v>
      </c>
      <c r="E6" s="16" t="n">
        <f aca="false">D6*Assumptions!$B$17</f>
        <v>6300</v>
      </c>
      <c r="F6" s="16" t="n">
        <f aca="false">C6*Assumptions!$B$19</f>
        <v>4200</v>
      </c>
      <c r="G6" s="16" t="n">
        <f aca="false">C6*Assumptions!$B$21+D6*Assumptions!$B$23</f>
        <v>4550</v>
      </c>
      <c r="H6" s="16" t="n">
        <f aca="false">D6*Assumptions!$B$9</f>
        <v>840</v>
      </c>
      <c r="I6" s="16" t="n">
        <f aca="false">D6*Assumptions!$B$10</f>
        <v>2100</v>
      </c>
      <c r="J6" s="16" t="n">
        <f aca="false">CHOOSE(B6,Assumptions!$B$11,Assumptions!$B$12,Assumptions!$B$13)</f>
        <v>12000</v>
      </c>
      <c r="K6" s="16" t="n">
        <f aca="false">E6-H6-I6-J6</f>
        <v>-8640</v>
      </c>
      <c r="L6" s="16" t="n">
        <f aca="false">F6-H6-I6-J6</f>
        <v>-10740</v>
      </c>
      <c r="M6" s="16" t="n">
        <f aca="false">G6-H6-I6-J6</f>
        <v>-10390</v>
      </c>
    </row>
    <row r="7" customFormat="false" ht="15" hidden="false" customHeight="false" outlineLevel="0" collapsed="false">
      <c r="A7" s="17" t="n">
        <v>4</v>
      </c>
      <c r="B7" s="17" t="n">
        <f aca="false">INT((A7-1)/12)+1</f>
        <v>1</v>
      </c>
      <c r="C7" s="18" t="n">
        <f aca="false">C6+Assumptions!$B$6</f>
        <v>9</v>
      </c>
      <c r="D7" s="18" t="n">
        <f aca="false">C7*Assumptions!$B$7</f>
        <v>18</v>
      </c>
      <c r="E7" s="19" t="n">
        <f aca="false">D7*Assumptions!$B$17</f>
        <v>8100</v>
      </c>
      <c r="F7" s="19" t="n">
        <f aca="false">C7*Assumptions!$B$19</f>
        <v>5400</v>
      </c>
      <c r="G7" s="19" t="n">
        <f aca="false">C7*Assumptions!$B$21+D7*Assumptions!$B$23</f>
        <v>5850</v>
      </c>
      <c r="H7" s="19" t="n">
        <f aca="false">D7*Assumptions!$B$9</f>
        <v>1080</v>
      </c>
      <c r="I7" s="19" t="n">
        <f aca="false">D7*Assumptions!$B$10</f>
        <v>2700</v>
      </c>
      <c r="J7" s="19" t="n">
        <f aca="false">CHOOSE(B7,Assumptions!$B$11,Assumptions!$B$12,Assumptions!$B$13)</f>
        <v>12000</v>
      </c>
      <c r="K7" s="19" t="n">
        <f aca="false">E7-H7-I7-J7</f>
        <v>-7680</v>
      </c>
      <c r="L7" s="19" t="n">
        <f aca="false">F7-H7-I7-J7</f>
        <v>-10380</v>
      </c>
      <c r="M7" s="19" t="n">
        <f aca="false">G7-H7-I7-J7</f>
        <v>-9930</v>
      </c>
    </row>
    <row r="8" customFormat="false" ht="15" hidden="false" customHeight="false" outlineLevel="0" collapsed="false">
      <c r="A8" s="14" t="n">
        <v>5</v>
      </c>
      <c r="B8" s="14" t="n">
        <f aca="false">INT((A8-1)/12)+1</f>
        <v>1</v>
      </c>
      <c r="C8" s="15" t="n">
        <f aca="false">C7+Assumptions!$B$6</f>
        <v>11</v>
      </c>
      <c r="D8" s="15" t="n">
        <f aca="false">C8*Assumptions!$B$7</f>
        <v>22</v>
      </c>
      <c r="E8" s="16" t="n">
        <f aca="false">D8*Assumptions!$B$17</f>
        <v>9900</v>
      </c>
      <c r="F8" s="16" t="n">
        <f aca="false">C8*Assumptions!$B$19</f>
        <v>6600</v>
      </c>
      <c r="G8" s="16" t="n">
        <f aca="false">C8*Assumptions!$B$21+D8*Assumptions!$B$23</f>
        <v>7150</v>
      </c>
      <c r="H8" s="16" t="n">
        <f aca="false">D8*Assumptions!$B$9</f>
        <v>1320</v>
      </c>
      <c r="I8" s="16" t="n">
        <f aca="false">D8*Assumptions!$B$10</f>
        <v>3300</v>
      </c>
      <c r="J8" s="16" t="n">
        <f aca="false">CHOOSE(B8,Assumptions!$B$11,Assumptions!$B$12,Assumptions!$B$13)</f>
        <v>12000</v>
      </c>
      <c r="K8" s="16" t="n">
        <f aca="false">E8-H8-I8-J8</f>
        <v>-6720</v>
      </c>
      <c r="L8" s="16" t="n">
        <f aca="false">F8-H8-I8-J8</f>
        <v>-10020</v>
      </c>
      <c r="M8" s="16" t="n">
        <f aca="false">G8-H8-I8-J8</f>
        <v>-9470</v>
      </c>
    </row>
    <row r="9" customFormat="false" ht="15" hidden="false" customHeight="false" outlineLevel="0" collapsed="false">
      <c r="A9" s="17" t="n">
        <v>6</v>
      </c>
      <c r="B9" s="17" t="n">
        <f aca="false">INT((A9-1)/12)+1</f>
        <v>1</v>
      </c>
      <c r="C9" s="18" t="n">
        <f aca="false">C8+Assumptions!$B$6</f>
        <v>13</v>
      </c>
      <c r="D9" s="18" t="n">
        <f aca="false">C9*Assumptions!$B$7</f>
        <v>26</v>
      </c>
      <c r="E9" s="19" t="n">
        <f aca="false">D9*Assumptions!$B$17</f>
        <v>11700</v>
      </c>
      <c r="F9" s="19" t="n">
        <f aca="false">C9*Assumptions!$B$19</f>
        <v>7800</v>
      </c>
      <c r="G9" s="19" t="n">
        <f aca="false">C9*Assumptions!$B$21+D9*Assumptions!$B$23</f>
        <v>8450</v>
      </c>
      <c r="H9" s="19" t="n">
        <f aca="false">D9*Assumptions!$B$9</f>
        <v>1560</v>
      </c>
      <c r="I9" s="19" t="n">
        <f aca="false">D9*Assumptions!$B$10</f>
        <v>3900</v>
      </c>
      <c r="J9" s="19" t="n">
        <f aca="false">CHOOSE(B9,Assumptions!$B$11,Assumptions!$B$12,Assumptions!$B$13)</f>
        <v>12000</v>
      </c>
      <c r="K9" s="19" t="n">
        <f aca="false">E9-H9-I9-J9</f>
        <v>-5760</v>
      </c>
      <c r="L9" s="19" t="n">
        <f aca="false">F9-H9-I9-J9</f>
        <v>-9660</v>
      </c>
      <c r="M9" s="19" t="n">
        <f aca="false">G9-H9-I9-J9</f>
        <v>-9010</v>
      </c>
    </row>
    <row r="10" customFormat="false" ht="15" hidden="false" customHeight="false" outlineLevel="0" collapsed="false">
      <c r="A10" s="14" t="n">
        <v>7</v>
      </c>
      <c r="B10" s="14" t="n">
        <f aca="false">INT((A10-1)/12)+1</f>
        <v>1</v>
      </c>
      <c r="C10" s="15" t="n">
        <f aca="false">C9+Assumptions!$B$6</f>
        <v>15</v>
      </c>
      <c r="D10" s="15" t="n">
        <f aca="false">C10*Assumptions!$B$7</f>
        <v>30</v>
      </c>
      <c r="E10" s="16" t="n">
        <f aca="false">D10*Assumptions!$B$17</f>
        <v>13500</v>
      </c>
      <c r="F10" s="16" t="n">
        <f aca="false">C10*Assumptions!$B$19</f>
        <v>9000</v>
      </c>
      <c r="G10" s="16" t="n">
        <f aca="false">C10*Assumptions!$B$21+D10*Assumptions!$B$23</f>
        <v>9750</v>
      </c>
      <c r="H10" s="16" t="n">
        <f aca="false">D10*Assumptions!$B$9</f>
        <v>1800</v>
      </c>
      <c r="I10" s="16" t="n">
        <f aca="false">D10*Assumptions!$B$10</f>
        <v>4500</v>
      </c>
      <c r="J10" s="16" t="n">
        <f aca="false">CHOOSE(B10,Assumptions!$B$11,Assumptions!$B$12,Assumptions!$B$13)</f>
        <v>12000</v>
      </c>
      <c r="K10" s="16" t="n">
        <f aca="false">E10-H10-I10-J10</f>
        <v>-4800</v>
      </c>
      <c r="L10" s="16" t="n">
        <f aca="false">F10-H10-I10-J10</f>
        <v>-9300</v>
      </c>
      <c r="M10" s="16" t="n">
        <f aca="false">G10-H10-I10-J10</f>
        <v>-8550</v>
      </c>
    </row>
    <row r="11" customFormat="false" ht="15" hidden="false" customHeight="false" outlineLevel="0" collapsed="false">
      <c r="A11" s="17" t="n">
        <v>8</v>
      </c>
      <c r="B11" s="17" t="n">
        <f aca="false">INT((A11-1)/12)+1</f>
        <v>1</v>
      </c>
      <c r="C11" s="18" t="n">
        <f aca="false">C10+Assumptions!$B$6</f>
        <v>17</v>
      </c>
      <c r="D11" s="18" t="n">
        <f aca="false">C11*Assumptions!$B$7</f>
        <v>34</v>
      </c>
      <c r="E11" s="19" t="n">
        <f aca="false">D11*Assumptions!$B$17</f>
        <v>15300</v>
      </c>
      <c r="F11" s="19" t="n">
        <f aca="false">C11*Assumptions!$B$19</f>
        <v>10200</v>
      </c>
      <c r="G11" s="19" t="n">
        <f aca="false">C11*Assumptions!$B$21+D11*Assumptions!$B$23</f>
        <v>11050</v>
      </c>
      <c r="H11" s="19" t="n">
        <f aca="false">D11*Assumptions!$B$9</f>
        <v>2040</v>
      </c>
      <c r="I11" s="19" t="n">
        <f aca="false">D11*Assumptions!$B$10</f>
        <v>5100</v>
      </c>
      <c r="J11" s="19" t="n">
        <f aca="false">CHOOSE(B11,Assumptions!$B$11,Assumptions!$B$12,Assumptions!$B$13)</f>
        <v>12000</v>
      </c>
      <c r="K11" s="19" t="n">
        <f aca="false">E11-H11-I11-J11</f>
        <v>-3840</v>
      </c>
      <c r="L11" s="19" t="n">
        <f aca="false">F11-H11-I11-J11</f>
        <v>-8940</v>
      </c>
      <c r="M11" s="19" t="n">
        <f aca="false">G11-H11-I11-J11</f>
        <v>-8090</v>
      </c>
    </row>
    <row r="12" customFormat="false" ht="15" hidden="false" customHeight="false" outlineLevel="0" collapsed="false">
      <c r="A12" s="14" t="n">
        <v>9</v>
      </c>
      <c r="B12" s="14" t="n">
        <f aca="false">INT((A12-1)/12)+1</f>
        <v>1</v>
      </c>
      <c r="C12" s="15" t="n">
        <f aca="false">C11+Assumptions!$B$6</f>
        <v>19</v>
      </c>
      <c r="D12" s="15" t="n">
        <f aca="false">C12*Assumptions!$B$7</f>
        <v>38</v>
      </c>
      <c r="E12" s="16" t="n">
        <f aca="false">D12*Assumptions!$B$17</f>
        <v>17100</v>
      </c>
      <c r="F12" s="16" t="n">
        <f aca="false">C12*Assumptions!$B$19</f>
        <v>11400</v>
      </c>
      <c r="G12" s="16" t="n">
        <f aca="false">C12*Assumptions!$B$21+D12*Assumptions!$B$23</f>
        <v>12350</v>
      </c>
      <c r="H12" s="16" t="n">
        <f aca="false">D12*Assumptions!$B$9</f>
        <v>2280</v>
      </c>
      <c r="I12" s="16" t="n">
        <f aca="false">D12*Assumptions!$B$10</f>
        <v>5700</v>
      </c>
      <c r="J12" s="16" t="n">
        <f aca="false">CHOOSE(B12,Assumptions!$B$11,Assumptions!$B$12,Assumptions!$B$13)</f>
        <v>12000</v>
      </c>
      <c r="K12" s="16" t="n">
        <f aca="false">E12-H12-I12-J12</f>
        <v>-2880</v>
      </c>
      <c r="L12" s="16" t="n">
        <f aca="false">F12-H12-I12-J12</f>
        <v>-8580</v>
      </c>
      <c r="M12" s="16" t="n">
        <f aca="false">G12-H12-I12-J12</f>
        <v>-7630</v>
      </c>
    </row>
    <row r="13" customFormat="false" ht="15" hidden="false" customHeight="false" outlineLevel="0" collapsed="false">
      <c r="A13" s="17" t="n">
        <v>10</v>
      </c>
      <c r="B13" s="17" t="n">
        <f aca="false">INT((A13-1)/12)+1</f>
        <v>1</v>
      </c>
      <c r="C13" s="18" t="n">
        <f aca="false">C12+Assumptions!$B$6</f>
        <v>21</v>
      </c>
      <c r="D13" s="18" t="n">
        <f aca="false">C13*Assumptions!$B$7</f>
        <v>42</v>
      </c>
      <c r="E13" s="19" t="n">
        <f aca="false">D13*Assumptions!$B$17</f>
        <v>18900</v>
      </c>
      <c r="F13" s="19" t="n">
        <f aca="false">C13*Assumptions!$B$19</f>
        <v>12600</v>
      </c>
      <c r="G13" s="19" t="n">
        <f aca="false">C13*Assumptions!$B$21+D13*Assumptions!$B$23</f>
        <v>13650</v>
      </c>
      <c r="H13" s="19" t="n">
        <f aca="false">D13*Assumptions!$B$9</f>
        <v>2520</v>
      </c>
      <c r="I13" s="19" t="n">
        <f aca="false">D13*Assumptions!$B$10</f>
        <v>6300</v>
      </c>
      <c r="J13" s="19" t="n">
        <f aca="false">CHOOSE(B13,Assumptions!$B$11,Assumptions!$B$12,Assumptions!$B$13)</f>
        <v>12000</v>
      </c>
      <c r="K13" s="19" t="n">
        <f aca="false">E13-H13-I13-J13</f>
        <v>-1920</v>
      </c>
      <c r="L13" s="19" t="n">
        <f aca="false">F13-H13-I13-J13</f>
        <v>-8220</v>
      </c>
      <c r="M13" s="19" t="n">
        <f aca="false">G13-H13-I13-J13</f>
        <v>-7170</v>
      </c>
    </row>
    <row r="14" customFormat="false" ht="15" hidden="false" customHeight="false" outlineLevel="0" collapsed="false">
      <c r="A14" s="14" t="n">
        <v>11</v>
      </c>
      <c r="B14" s="14" t="n">
        <f aca="false">INT((A14-1)/12)+1</f>
        <v>1</v>
      </c>
      <c r="C14" s="15" t="n">
        <f aca="false">C13+Assumptions!$B$6</f>
        <v>23</v>
      </c>
      <c r="D14" s="15" t="n">
        <f aca="false">C14*Assumptions!$B$7</f>
        <v>46</v>
      </c>
      <c r="E14" s="16" t="n">
        <f aca="false">D14*Assumptions!$B$17</f>
        <v>20700</v>
      </c>
      <c r="F14" s="16" t="n">
        <f aca="false">C14*Assumptions!$B$19</f>
        <v>13800</v>
      </c>
      <c r="G14" s="16" t="n">
        <f aca="false">C14*Assumptions!$B$21+D14*Assumptions!$B$23</f>
        <v>14950</v>
      </c>
      <c r="H14" s="16" t="n">
        <f aca="false">D14*Assumptions!$B$9</f>
        <v>2760</v>
      </c>
      <c r="I14" s="16" t="n">
        <f aca="false">D14*Assumptions!$B$10</f>
        <v>6900</v>
      </c>
      <c r="J14" s="16" t="n">
        <f aca="false">CHOOSE(B14,Assumptions!$B$11,Assumptions!$B$12,Assumptions!$B$13)</f>
        <v>12000</v>
      </c>
      <c r="K14" s="16" t="n">
        <f aca="false">E14-H14-I14-J14</f>
        <v>-960</v>
      </c>
      <c r="L14" s="16" t="n">
        <f aca="false">F14-H14-I14-J14</f>
        <v>-7860</v>
      </c>
      <c r="M14" s="16" t="n">
        <f aca="false">G14-H14-I14-J14</f>
        <v>-6710</v>
      </c>
    </row>
    <row r="15" customFormat="false" ht="15" hidden="false" customHeight="false" outlineLevel="0" collapsed="false">
      <c r="A15" s="17" t="n">
        <v>12</v>
      </c>
      <c r="B15" s="17" t="n">
        <f aca="false">INT((A15-1)/12)+1</f>
        <v>1</v>
      </c>
      <c r="C15" s="18" t="n">
        <f aca="false">C14+Assumptions!$B$6</f>
        <v>25</v>
      </c>
      <c r="D15" s="18" t="n">
        <f aca="false">C15*Assumptions!$B$7</f>
        <v>50</v>
      </c>
      <c r="E15" s="19" t="n">
        <f aca="false">D15*Assumptions!$B$17</f>
        <v>22500</v>
      </c>
      <c r="F15" s="19" t="n">
        <f aca="false">C15*Assumptions!$B$19</f>
        <v>15000</v>
      </c>
      <c r="G15" s="19" t="n">
        <f aca="false">C15*Assumptions!$B$21+D15*Assumptions!$B$23</f>
        <v>16250</v>
      </c>
      <c r="H15" s="19" t="n">
        <f aca="false">D15*Assumptions!$B$9</f>
        <v>3000</v>
      </c>
      <c r="I15" s="19" t="n">
        <f aca="false">D15*Assumptions!$B$10</f>
        <v>7500</v>
      </c>
      <c r="J15" s="19" t="n">
        <f aca="false">CHOOSE(B15,Assumptions!$B$11,Assumptions!$B$12,Assumptions!$B$13)</f>
        <v>12000</v>
      </c>
      <c r="K15" s="19" t="n">
        <f aca="false">E15-H15-I15-J15</f>
        <v>0</v>
      </c>
      <c r="L15" s="19" t="n">
        <f aca="false">F15-H15-I15-J15</f>
        <v>-7500</v>
      </c>
      <c r="M15" s="19" t="n">
        <f aca="false">G15-H15-I15-J15</f>
        <v>-6250</v>
      </c>
    </row>
    <row r="16" customFormat="false" ht="15" hidden="false" customHeight="false" outlineLevel="0" collapsed="false">
      <c r="A16" s="14" t="n">
        <v>13</v>
      </c>
      <c r="B16" s="14" t="n">
        <f aca="false">INT((A16-1)/12)+1</f>
        <v>2</v>
      </c>
      <c r="C16" s="15" t="n">
        <f aca="false">C15+Assumptions!$B$6</f>
        <v>27</v>
      </c>
      <c r="D16" s="15" t="n">
        <f aca="false">C16*Assumptions!$B$7</f>
        <v>54</v>
      </c>
      <c r="E16" s="16" t="n">
        <f aca="false">D16*Assumptions!$B$17</f>
        <v>24300</v>
      </c>
      <c r="F16" s="16" t="n">
        <f aca="false">C16*Assumptions!$B$19</f>
        <v>16200</v>
      </c>
      <c r="G16" s="16" t="n">
        <f aca="false">C16*Assumptions!$B$21+D16*Assumptions!$B$23</f>
        <v>17550</v>
      </c>
      <c r="H16" s="16" t="n">
        <f aca="false">D16*Assumptions!$B$9</f>
        <v>3240</v>
      </c>
      <c r="I16" s="16" t="n">
        <f aca="false">D16*Assumptions!$B$10</f>
        <v>8100</v>
      </c>
      <c r="J16" s="16" t="n">
        <f aca="false">CHOOSE(B16,Assumptions!$B$11,Assumptions!$B$12,Assumptions!$B$13)</f>
        <v>22000</v>
      </c>
      <c r="K16" s="16" t="n">
        <f aca="false">E16-H16-I16-J16</f>
        <v>-9040</v>
      </c>
      <c r="L16" s="16" t="n">
        <f aca="false">F16-H16-I16-J16</f>
        <v>-17140</v>
      </c>
      <c r="M16" s="16" t="n">
        <f aca="false">G16-H16-I16-J16</f>
        <v>-15790</v>
      </c>
    </row>
    <row r="17" customFormat="false" ht="15" hidden="false" customHeight="false" outlineLevel="0" collapsed="false">
      <c r="A17" s="17" t="n">
        <v>14</v>
      </c>
      <c r="B17" s="17" t="n">
        <f aca="false">INT((A17-1)/12)+1</f>
        <v>2</v>
      </c>
      <c r="C17" s="18" t="n">
        <f aca="false">C16+Assumptions!$B$6</f>
        <v>29</v>
      </c>
      <c r="D17" s="18" t="n">
        <f aca="false">C17*Assumptions!$B$7</f>
        <v>58</v>
      </c>
      <c r="E17" s="19" t="n">
        <f aca="false">D17*Assumptions!$B$17</f>
        <v>26100</v>
      </c>
      <c r="F17" s="19" t="n">
        <f aca="false">C17*Assumptions!$B$19</f>
        <v>17400</v>
      </c>
      <c r="G17" s="19" t="n">
        <f aca="false">C17*Assumptions!$B$21+D17*Assumptions!$B$23</f>
        <v>18850</v>
      </c>
      <c r="H17" s="19" t="n">
        <f aca="false">D17*Assumptions!$B$9</f>
        <v>3480</v>
      </c>
      <c r="I17" s="19" t="n">
        <f aca="false">D17*Assumptions!$B$10</f>
        <v>8700</v>
      </c>
      <c r="J17" s="19" t="n">
        <f aca="false">CHOOSE(B17,Assumptions!$B$11,Assumptions!$B$12,Assumptions!$B$13)</f>
        <v>22000</v>
      </c>
      <c r="K17" s="19" t="n">
        <f aca="false">E17-H17-I17-J17</f>
        <v>-8080</v>
      </c>
      <c r="L17" s="19" t="n">
        <f aca="false">F17-H17-I17-J17</f>
        <v>-16780</v>
      </c>
      <c r="M17" s="19" t="n">
        <f aca="false">G17-H17-I17-J17</f>
        <v>-15330</v>
      </c>
    </row>
    <row r="18" customFormat="false" ht="15" hidden="false" customHeight="false" outlineLevel="0" collapsed="false">
      <c r="A18" s="14" t="n">
        <v>15</v>
      </c>
      <c r="B18" s="14" t="n">
        <f aca="false">INT((A18-1)/12)+1</f>
        <v>2</v>
      </c>
      <c r="C18" s="15" t="n">
        <f aca="false">C17+Assumptions!$B$6</f>
        <v>31</v>
      </c>
      <c r="D18" s="15" t="n">
        <f aca="false">C18*Assumptions!$B$7</f>
        <v>62</v>
      </c>
      <c r="E18" s="16" t="n">
        <f aca="false">D18*Assumptions!$B$17</f>
        <v>27900</v>
      </c>
      <c r="F18" s="16" t="n">
        <f aca="false">C18*Assumptions!$B$19</f>
        <v>18600</v>
      </c>
      <c r="G18" s="16" t="n">
        <f aca="false">C18*Assumptions!$B$21+D18*Assumptions!$B$23</f>
        <v>20150</v>
      </c>
      <c r="H18" s="16" t="n">
        <f aca="false">D18*Assumptions!$B$9</f>
        <v>3720</v>
      </c>
      <c r="I18" s="16" t="n">
        <f aca="false">D18*Assumptions!$B$10</f>
        <v>9300</v>
      </c>
      <c r="J18" s="16" t="n">
        <f aca="false">CHOOSE(B18,Assumptions!$B$11,Assumptions!$B$12,Assumptions!$B$13)</f>
        <v>22000</v>
      </c>
      <c r="K18" s="16" t="n">
        <f aca="false">E18-H18-I18-J18</f>
        <v>-7120</v>
      </c>
      <c r="L18" s="16" t="n">
        <f aca="false">F18-H18-I18-J18</f>
        <v>-16420</v>
      </c>
      <c r="M18" s="16" t="n">
        <f aca="false">G18-H18-I18-J18</f>
        <v>-14870</v>
      </c>
    </row>
    <row r="19" customFormat="false" ht="15" hidden="false" customHeight="false" outlineLevel="0" collapsed="false">
      <c r="A19" s="17" t="n">
        <v>16</v>
      </c>
      <c r="B19" s="17" t="n">
        <f aca="false">INT((A19-1)/12)+1</f>
        <v>2</v>
      </c>
      <c r="C19" s="18" t="n">
        <f aca="false">C18+Assumptions!$B$6</f>
        <v>33</v>
      </c>
      <c r="D19" s="18" t="n">
        <f aca="false">C19*Assumptions!$B$7</f>
        <v>66</v>
      </c>
      <c r="E19" s="19" t="n">
        <f aca="false">D19*Assumptions!$B$17</f>
        <v>29700</v>
      </c>
      <c r="F19" s="19" t="n">
        <f aca="false">C19*Assumptions!$B$19</f>
        <v>19800</v>
      </c>
      <c r="G19" s="19" t="n">
        <f aca="false">C19*Assumptions!$B$21+D19*Assumptions!$B$23</f>
        <v>21450</v>
      </c>
      <c r="H19" s="19" t="n">
        <f aca="false">D19*Assumptions!$B$9</f>
        <v>3960</v>
      </c>
      <c r="I19" s="19" t="n">
        <f aca="false">D19*Assumptions!$B$10</f>
        <v>9900</v>
      </c>
      <c r="J19" s="19" t="n">
        <f aca="false">CHOOSE(B19,Assumptions!$B$11,Assumptions!$B$12,Assumptions!$B$13)</f>
        <v>22000</v>
      </c>
      <c r="K19" s="19" t="n">
        <f aca="false">E19-H19-I19-J19</f>
        <v>-6160</v>
      </c>
      <c r="L19" s="19" t="n">
        <f aca="false">F19-H19-I19-J19</f>
        <v>-16060</v>
      </c>
      <c r="M19" s="19" t="n">
        <f aca="false">G19-H19-I19-J19</f>
        <v>-14410</v>
      </c>
    </row>
    <row r="20" customFormat="false" ht="15" hidden="false" customHeight="false" outlineLevel="0" collapsed="false">
      <c r="A20" s="14" t="n">
        <v>17</v>
      </c>
      <c r="B20" s="14" t="n">
        <f aca="false">INT((A20-1)/12)+1</f>
        <v>2</v>
      </c>
      <c r="C20" s="15" t="n">
        <f aca="false">C19+Assumptions!$B$6</f>
        <v>35</v>
      </c>
      <c r="D20" s="15" t="n">
        <f aca="false">C20*Assumptions!$B$7</f>
        <v>70</v>
      </c>
      <c r="E20" s="16" t="n">
        <f aca="false">D20*Assumptions!$B$17</f>
        <v>31500</v>
      </c>
      <c r="F20" s="16" t="n">
        <f aca="false">C20*Assumptions!$B$19</f>
        <v>21000</v>
      </c>
      <c r="G20" s="16" t="n">
        <f aca="false">C20*Assumptions!$B$21+D20*Assumptions!$B$23</f>
        <v>22750</v>
      </c>
      <c r="H20" s="16" t="n">
        <f aca="false">D20*Assumptions!$B$9</f>
        <v>4200</v>
      </c>
      <c r="I20" s="16" t="n">
        <f aca="false">D20*Assumptions!$B$10</f>
        <v>10500</v>
      </c>
      <c r="J20" s="16" t="n">
        <f aca="false">CHOOSE(B20,Assumptions!$B$11,Assumptions!$B$12,Assumptions!$B$13)</f>
        <v>22000</v>
      </c>
      <c r="K20" s="16" t="n">
        <f aca="false">E20-H20-I20-J20</f>
        <v>-5200</v>
      </c>
      <c r="L20" s="16" t="n">
        <f aca="false">F20-H20-I20-J20</f>
        <v>-15700</v>
      </c>
      <c r="M20" s="16" t="n">
        <f aca="false">G20-H20-I20-J20</f>
        <v>-13950</v>
      </c>
    </row>
    <row r="21" customFormat="false" ht="15" hidden="false" customHeight="false" outlineLevel="0" collapsed="false">
      <c r="A21" s="17" t="n">
        <v>18</v>
      </c>
      <c r="B21" s="17" t="n">
        <f aca="false">INT((A21-1)/12)+1</f>
        <v>2</v>
      </c>
      <c r="C21" s="18" t="n">
        <f aca="false">C20+Assumptions!$B$6</f>
        <v>37</v>
      </c>
      <c r="D21" s="18" t="n">
        <f aca="false">C21*Assumptions!$B$7</f>
        <v>74</v>
      </c>
      <c r="E21" s="19" t="n">
        <f aca="false">D21*Assumptions!$B$17</f>
        <v>33300</v>
      </c>
      <c r="F21" s="19" t="n">
        <f aca="false">C21*Assumptions!$B$19</f>
        <v>22200</v>
      </c>
      <c r="G21" s="19" t="n">
        <f aca="false">C21*Assumptions!$B$21+D21*Assumptions!$B$23</f>
        <v>24050</v>
      </c>
      <c r="H21" s="19" t="n">
        <f aca="false">D21*Assumptions!$B$9</f>
        <v>4440</v>
      </c>
      <c r="I21" s="19" t="n">
        <f aca="false">D21*Assumptions!$B$10</f>
        <v>11100</v>
      </c>
      <c r="J21" s="19" t="n">
        <f aca="false">CHOOSE(B21,Assumptions!$B$11,Assumptions!$B$12,Assumptions!$B$13)</f>
        <v>22000</v>
      </c>
      <c r="K21" s="19" t="n">
        <f aca="false">E21-H21-I21-J21</f>
        <v>-4240</v>
      </c>
      <c r="L21" s="19" t="n">
        <f aca="false">F21-H21-I21-J21</f>
        <v>-15340</v>
      </c>
      <c r="M21" s="19" t="n">
        <f aca="false">G21-H21-I21-J21</f>
        <v>-13490</v>
      </c>
    </row>
    <row r="22" customFormat="false" ht="15" hidden="false" customHeight="false" outlineLevel="0" collapsed="false">
      <c r="A22" s="14" t="n">
        <v>19</v>
      </c>
      <c r="B22" s="14" t="n">
        <f aca="false">INT((A22-1)/12)+1</f>
        <v>2</v>
      </c>
      <c r="C22" s="15" t="n">
        <f aca="false">C21+Assumptions!$B$6</f>
        <v>39</v>
      </c>
      <c r="D22" s="15" t="n">
        <f aca="false">C22*Assumptions!$B$7</f>
        <v>78</v>
      </c>
      <c r="E22" s="16" t="n">
        <f aca="false">D22*Assumptions!$B$17</f>
        <v>35100</v>
      </c>
      <c r="F22" s="16" t="n">
        <f aca="false">C22*Assumptions!$B$19</f>
        <v>23400</v>
      </c>
      <c r="G22" s="16" t="n">
        <f aca="false">C22*Assumptions!$B$21+D22*Assumptions!$B$23</f>
        <v>25350</v>
      </c>
      <c r="H22" s="16" t="n">
        <f aca="false">D22*Assumptions!$B$9</f>
        <v>4680</v>
      </c>
      <c r="I22" s="16" t="n">
        <f aca="false">D22*Assumptions!$B$10</f>
        <v>11700</v>
      </c>
      <c r="J22" s="16" t="n">
        <f aca="false">CHOOSE(B22,Assumptions!$B$11,Assumptions!$B$12,Assumptions!$B$13)</f>
        <v>22000</v>
      </c>
      <c r="K22" s="16" t="n">
        <f aca="false">E22-H22-I22-J22</f>
        <v>-3280</v>
      </c>
      <c r="L22" s="16" t="n">
        <f aca="false">F22-H22-I22-J22</f>
        <v>-14980</v>
      </c>
      <c r="M22" s="16" t="n">
        <f aca="false">G22-H22-I22-J22</f>
        <v>-13030</v>
      </c>
    </row>
    <row r="23" customFormat="false" ht="15" hidden="false" customHeight="false" outlineLevel="0" collapsed="false">
      <c r="A23" s="17" t="n">
        <v>20</v>
      </c>
      <c r="B23" s="17" t="n">
        <f aca="false">INT((A23-1)/12)+1</f>
        <v>2</v>
      </c>
      <c r="C23" s="18" t="n">
        <f aca="false">C22+Assumptions!$B$6</f>
        <v>41</v>
      </c>
      <c r="D23" s="18" t="n">
        <f aca="false">C23*Assumptions!$B$7</f>
        <v>82</v>
      </c>
      <c r="E23" s="19" t="n">
        <f aca="false">D23*Assumptions!$B$17</f>
        <v>36900</v>
      </c>
      <c r="F23" s="19" t="n">
        <f aca="false">C23*Assumptions!$B$19</f>
        <v>24600</v>
      </c>
      <c r="G23" s="19" t="n">
        <f aca="false">C23*Assumptions!$B$21+D23*Assumptions!$B$23</f>
        <v>26650</v>
      </c>
      <c r="H23" s="19" t="n">
        <f aca="false">D23*Assumptions!$B$9</f>
        <v>4920</v>
      </c>
      <c r="I23" s="19" t="n">
        <f aca="false">D23*Assumptions!$B$10</f>
        <v>12300</v>
      </c>
      <c r="J23" s="19" t="n">
        <f aca="false">CHOOSE(B23,Assumptions!$B$11,Assumptions!$B$12,Assumptions!$B$13)</f>
        <v>22000</v>
      </c>
      <c r="K23" s="19" t="n">
        <f aca="false">E23-H23-I23-J23</f>
        <v>-2320</v>
      </c>
      <c r="L23" s="19" t="n">
        <f aca="false">F23-H23-I23-J23</f>
        <v>-14620</v>
      </c>
      <c r="M23" s="19" t="n">
        <f aca="false">G23-H23-I23-J23</f>
        <v>-12570</v>
      </c>
    </row>
    <row r="24" customFormat="false" ht="15" hidden="false" customHeight="false" outlineLevel="0" collapsed="false">
      <c r="A24" s="14" t="n">
        <v>21</v>
      </c>
      <c r="B24" s="14" t="n">
        <f aca="false">INT((A24-1)/12)+1</f>
        <v>2</v>
      </c>
      <c r="C24" s="15" t="n">
        <f aca="false">C23+Assumptions!$B$6</f>
        <v>43</v>
      </c>
      <c r="D24" s="15" t="n">
        <f aca="false">C24*Assumptions!$B$7</f>
        <v>86</v>
      </c>
      <c r="E24" s="16" t="n">
        <f aca="false">D24*Assumptions!$B$17</f>
        <v>38700</v>
      </c>
      <c r="F24" s="16" t="n">
        <f aca="false">C24*Assumptions!$B$19</f>
        <v>25800</v>
      </c>
      <c r="G24" s="16" t="n">
        <f aca="false">C24*Assumptions!$B$21+D24*Assumptions!$B$23</f>
        <v>27950</v>
      </c>
      <c r="H24" s="16" t="n">
        <f aca="false">D24*Assumptions!$B$9</f>
        <v>5160</v>
      </c>
      <c r="I24" s="16" t="n">
        <f aca="false">D24*Assumptions!$B$10</f>
        <v>12900</v>
      </c>
      <c r="J24" s="16" t="n">
        <f aca="false">CHOOSE(B24,Assumptions!$B$11,Assumptions!$B$12,Assumptions!$B$13)</f>
        <v>22000</v>
      </c>
      <c r="K24" s="16" t="n">
        <f aca="false">E24-H24-I24-J24</f>
        <v>-1360</v>
      </c>
      <c r="L24" s="16" t="n">
        <f aca="false">F24-H24-I24-J24</f>
        <v>-14260</v>
      </c>
      <c r="M24" s="16" t="n">
        <f aca="false">G24-H24-I24-J24</f>
        <v>-12110</v>
      </c>
    </row>
    <row r="25" customFormat="false" ht="15" hidden="false" customHeight="false" outlineLevel="0" collapsed="false">
      <c r="A25" s="17" t="n">
        <v>22</v>
      </c>
      <c r="B25" s="17" t="n">
        <f aca="false">INT((A25-1)/12)+1</f>
        <v>2</v>
      </c>
      <c r="C25" s="18" t="n">
        <f aca="false">C24+Assumptions!$B$6</f>
        <v>45</v>
      </c>
      <c r="D25" s="18" t="n">
        <f aca="false">C25*Assumptions!$B$7</f>
        <v>90</v>
      </c>
      <c r="E25" s="19" t="n">
        <f aca="false">D25*Assumptions!$B$17</f>
        <v>40500</v>
      </c>
      <c r="F25" s="19" t="n">
        <f aca="false">C25*Assumptions!$B$19</f>
        <v>27000</v>
      </c>
      <c r="G25" s="19" t="n">
        <f aca="false">C25*Assumptions!$B$21+D25*Assumptions!$B$23</f>
        <v>29250</v>
      </c>
      <c r="H25" s="19" t="n">
        <f aca="false">D25*Assumptions!$B$9</f>
        <v>5400</v>
      </c>
      <c r="I25" s="19" t="n">
        <f aca="false">D25*Assumptions!$B$10</f>
        <v>13500</v>
      </c>
      <c r="J25" s="19" t="n">
        <f aca="false">CHOOSE(B25,Assumptions!$B$11,Assumptions!$B$12,Assumptions!$B$13)</f>
        <v>22000</v>
      </c>
      <c r="K25" s="19" t="n">
        <f aca="false">E25-H25-I25-J25</f>
        <v>-400</v>
      </c>
      <c r="L25" s="19" t="n">
        <f aca="false">F25-H25-I25-J25</f>
        <v>-13900</v>
      </c>
      <c r="M25" s="19" t="n">
        <f aca="false">G25-H25-I25-J25</f>
        <v>-11650</v>
      </c>
    </row>
    <row r="26" customFormat="false" ht="15" hidden="false" customHeight="false" outlineLevel="0" collapsed="false">
      <c r="A26" s="14" t="n">
        <v>23</v>
      </c>
      <c r="B26" s="14" t="n">
        <f aca="false">INT((A26-1)/12)+1</f>
        <v>2</v>
      </c>
      <c r="C26" s="15" t="n">
        <f aca="false">C25+Assumptions!$B$6</f>
        <v>47</v>
      </c>
      <c r="D26" s="15" t="n">
        <f aca="false">C26*Assumptions!$B$7</f>
        <v>94</v>
      </c>
      <c r="E26" s="16" t="n">
        <f aca="false">D26*Assumptions!$B$17</f>
        <v>42300</v>
      </c>
      <c r="F26" s="16" t="n">
        <f aca="false">C26*Assumptions!$B$19</f>
        <v>28200</v>
      </c>
      <c r="G26" s="16" t="n">
        <f aca="false">C26*Assumptions!$B$21+D26*Assumptions!$B$23</f>
        <v>30550</v>
      </c>
      <c r="H26" s="16" t="n">
        <f aca="false">D26*Assumptions!$B$9</f>
        <v>5640</v>
      </c>
      <c r="I26" s="16" t="n">
        <f aca="false">D26*Assumptions!$B$10</f>
        <v>14100</v>
      </c>
      <c r="J26" s="16" t="n">
        <f aca="false">CHOOSE(B26,Assumptions!$B$11,Assumptions!$B$12,Assumptions!$B$13)</f>
        <v>22000</v>
      </c>
      <c r="K26" s="16" t="n">
        <f aca="false">E26-H26-I26-J26</f>
        <v>560</v>
      </c>
      <c r="L26" s="16" t="n">
        <f aca="false">F26-H26-I26-J26</f>
        <v>-13540</v>
      </c>
      <c r="M26" s="16" t="n">
        <f aca="false">G26-H26-I26-J26</f>
        <v>-11190</v>
      </c>
    </row>
    <row r="27" customFormat="false" ht="15" hidden="false" customHeight="false" outlineLevel="0" collapsed="false">
      <c r="A27" s="17" t="n">
        <v>24</v>
      </c>
      <c r="B27" s="17" t="n">
        <f aca="false">INT((A27-1)/12)+1</f>
        <v>2</v>
      </c>
      <c r="C27" s="18" t="n">
        <f aca="false">C26+Assumptions!$B$6</f>
        <v>49</v>
      </c>
      <c r="D27" s="18" t="n">
        <f aca="false">C27*Assumptions!$B$7</f>
        <v>98</v>
      </c>
      <c r="E27" s="19" t="n">
        <f aca="false">D27*Assumptions!$B$17</f>
        <v>44100</v>
      </c>
      <c r="F27" s="19" t="n">
        <f aca="false">C27*Assumptions!$B$19</f>
        <v>29400</v>
      </c>
      <c r="G27" s="19" t="n">
        <f aca="false">C27*Assumptions!$B$21+D27*Assumptions!$B$23</f>
        <v>31850</v>
      </c>
      <c r="H27" s="19" t="n">
        <f aca="false">D27*Assumptions!$B$9</f>
        <v>5880</v>
      </c>
      <c r="I27" s="19" t="n">
        <f aca="false">D27*Assumptions!$B$10</f>
        <v>14700</v>
      </c>
      <c r="J27" s="19" t="n">
        <f aca="false">CHOOSE(B27,Assumptions!$B$11,Assumptions!$B$12,Assumptions!$B$13)</f>
        <v>22000</v>
      </c>
      <c r="K27" s="19" t="n">
        <f aca="false">E27-H27-I27-J27</f>
        <v>1520</v>
      </c>
      <c r="L27" s="19" t="n">
        <f aca="false">F27-H27-I27-J27</f>
        <v>-13180</v>
      </c>
      <c r="M27" s="19" t="n">
        <f aca="false">G27-H27-I27-J27</f>
        <v>-10730</v>
      </c>
    </row>
    <row r="28" customFormat="false" ht="15" hidden="false" customHeight="false" outlineLevel="0" collapsed="false">
      <c r="A28" s="14" t="n">
        <v>25</v>
      </c>
      <c r="B28" s="14" t="n">
        <f aca="false">INT((A28-1)/12)+1</f>
        <v>3</v>
      </c>
      <c r="C28" s="15" t="n">
        <f aca="false">C27+Assumptions!$B$6</f>
        <v>51</v>
      </c>
      <c r="D28" s="15" t="n">
        <f aca="false">C28*Assumptions!$B$7</f>
        <v>102</v>
      </c>
      <c r="E28" s="16" t="n">
        <f aca="false">D28*Assumptions!$B$17</f>
        <v>45900</v>
      </c>
      <c r="F28" s="16" t="n">
        <f aca="false">C28*Assumptions!$B$19</f>
        <v>30600</v>
      </c>
      <c r="G28" s="16" t="n">
        <f aca="false">C28*Assumptions!$B$21+D28*Assumptions!$B$23</f>
        <v>33150</v>
      </c>
      <c r="H28" s="16" t="n">
        <f aca="false">D28*Assumptions!$B$9</f>
        <v>6120</v>
      </c>
      <c r="I28" s="16" t="n">
        <f aca="false">D28*Assumptions!$B$10</f>
        <v>15300</v>
      </c>
      <c r="J28" s="16" t="n">
        <f aca="false">CHOOSE(B28,Assumptions!$B$11,Assumptions!$B$12,Assumptions!$B$13)</f>
        <v>32000</v>
      </c>
      <c r="K28" s="16" t="n">
        <f aca="false">E28-H28-I28-J28</f>
        <v>-7520</v>
      </c>
      <c r="L28" s="16" t="n">
        <f aca="false">F28-H28-I28-J28</f>
        <v>-22820</v>
      </c>
      <c r="M28" s="16" t="n">
        <f aca="false">G28-H28-I28-J28</f>
        <v>-20270</v>
      </c>
    </row>
    <row r="29" customFormat="false" ht="15" hidden="false" customHeight="false" outlineLevel="0" collapsed="false">
      <c r="A29" s="17" t="n">
        <v>26</v>
      </c>
      <c r="B29" s="17" t="n">
        <f aca="false">INT((A29-1)/12)+1</f>
        <v>3</v>
      </c>
      <c r="C29" s="18" t="n">
        <f aca="false">C28+Assumptions!$B$6</f>
        <v>53</v>
      </c>
      <c r="D29" s="18" t="n">
        <f aca="false">C29*Assumptions!$B$7</f>
        <v>106</v>
      </c>
      <c r="E29" s="19" t="n">
        <f aca="false">D29*Assumptions!$B$17</f>
        <v>47700</v>
      </c>
      <c r="F29" s="19" t="n">
        <f aca="false">C29*Assumptions!$B$19</f>
        <v>31800</v>
      </c>
      <c r="G29" s="19" t="n">
        <f aca="false">C29*Assumptions!$B$21+D29*Assumptions!$B$23</f>
        <v>34450</v>
      </c>
      <c r="H29" s="19" t="n">
        <f aca="false">D29*Assumptions!$B$9</f>
        <v>6360</v>
      </c>
      <c r="I29" s="19" t="n">
        <f aca="false">D29*Assumptions!$B$10</f>
        <v>15900</v>
      </c>
      <c r="J29" s="19" t="n">
        <f aca="false">CHOOSE(B29,Assumptions!$B$11,Assumptions!$B$12,Assumptions!$B$13)</f>
        <v>32000</v>
      </c>
      <c r="K29" s="19" t="n">
        <f aca="false">E29-H29-I29-J29</f>
        <v>-6560</v>
      </c>
      <c r="L29" s="19" t="n">
        <f aca="false">F29-H29-I29-J29</f>
        <v>-22460</v>
      </c>
      <c r="M29" s="19" t="n">
        <f aca="false">G29-H29-I29-J29</f>
        <v>-19810</v>
      </c>
    </row>
    <row r="30" customFormat="false" ht="15" hidden="false" customHeight="false" outlineLevel="0" collapsed="false">
      <c r="A30" s="14" t="n">
        <v>27</v>
      </c>
      <c r="B30" s="14" t="n">
        <f aca="false">INT((A30-1)/12)+1</f>
        <v>3</v>
      </c>
      <c r="C30" s="15" t="n">
        <f aca="false">C29+Assumptions!$B$6</f>
        <v>55</v>
      </c>
      <c r="D30" s="15" t="n">
        <f aca="false">C30*Assumptions!$B$7</f>
        <v>110</v>
      </c>
      <c r="E30" s="16" t="n">
        <f aca="false">D30*Assumptions!$B$17</f>
        <v>49500</v>
      </c>
      <c r="F30" s="16" t="n">
        <f aca="false">C30*Assumptions!$B$19</f>
        <v>33000</v>
      </c>
      <c r="G30" s="16" t="n">
        <f aca="false">C30*Assumptions!$B$21+D30*Assumptions!$B$23</f>
        <v>35750</v>
      </c>
      <c r="H30" s="16" t="n">
        <f aca="false">D30*Assumptions!$B$9</f>
        <v>6600</v>
      </c>
      <c r="I30" s="16" t="n">
        <f aca="false">D30*Assumptions!$B$10</f>
        <v>16500</v>
      </c>
      <c r="J30" s="16" t="n">
        <f aca="false">CHOOSE(B30,Assumptions!$B$11,Assumptions!$B$12,Assumptions!$B$13)</f>
        <v>32000</v>
      </c>
      <c r="K30" s="16" t="n">
        <f aca="false">E30-H30-I30-J30</f>
        <v>-5600</v>
      </c>
      <c r="L30" s="16" t="n">
        <f aca="false">F30-H30-I30-J30</f>
        <v>-22100</v>
      </c>
      <c r="M30" s="16" t="n">
        <f aca="false">G30-H30-I30-J30</f>
        <v>-19350</v>
      </c>
    </row>
    <row r="31" customFormat="false" ht="15" hidden="false" customHeight="false" outlineLevel="0" collapsed="false">
      <c r="A31" s="17" t="n">
        <v>28</v>
      </c>
      <c r="B31" s="17" t="n">
        <f aca="false">INT((A31-1)/12)+1</f>
        <v>3</v>
      </c>
      <c r="C31" s="18" t="n">
        <f aca="false">C30+Assumptions!$B$6</f>
        <v>57</v>
      </c>
      <c r="D31" s="18" t="n">
        <f aca="false">C31*Assumptions!$B$7</f>
        <v>114</v>
      </c>
      <c r="E31" s="19" t="n">
        <f aca="false">D31*Assumptions!$B$17</f>
        <v>51300</v>
      </c>
      <c r="F31" s="19" t="n">
        <f aca="false">C31*Assumptions!$B$19</f>
        <v>34200</v>
      </c>
      <c r="G31" s="19" t="n">
        <f aca="false">C31*Assumptions!$B$21+D31*Assumptions!$B$23</f>
        <v>37050</v>
      </c>
      <c r="H31" s="19" t="n">
        <f aca="false">D31*Assumptions!$B$9</f>
        <v>6840</v>
      </c>
      <c r="I31" s="19" t="n">
        <f aca="false">D31*Assumptions!$B$10</f>
        <v>17100</v>
      </c>
      <c r="J31" s="19" t="n">
        <f aca="false">CHOOSE(B31,Assumptions!$B$11,Assumptions!$B$12,Assumptions!$B$13)</f>
        <v>32000</v>
      </c>
      <c r="K31" s="19" t="n">
        <f aca="false">E31-H31-I31-J31</f>
        <v>-4640</v>
      </c>
      <c r="L31" s="19" t="n">
        <f aca="false">F31-H31-I31-J31</f>
        <v>-21740</v>
      </c>
      <c r="M31" s="19" t="n">
        <f aca="false">G31-H31-I31-J31</f>
        <v>-18890</v>
      </c>
    </row>
    <row r="32" customFormat="false" ht="15" hidden="false" customHeight="false" outlineLevel="0" collapsed="false">
      <c r="A32" s="14" t="n">
        <v>29</v>
      </c>
      <c r="B32" s="14" t="n">
        <f aca="false">INT((A32-1)/12)+1</f>
        <v>3</v>
      </c>
      <c r="C32" s="15" t="n">
        <f aca="false">C31+Assumptions!$B$6</f>
        <v>59</v>
      </c>
      <c r="D32" s="15" t="n">
        <f aca="false">C32*Assumptions!$B$7</f>
        <v>118</v>
      </c>
      <c r="E32" s="16" t="n">
        <f aca="false">D32*Assumptions!$B$17</f>
        <v>53100</v>
      </c>
      <c r="F32" s="16" t="n">
        <f aca="false">C32*Assumptions!$B$19</f>
        <v>35400</v>
      </c>
      <c r="G32" s="16" t="n">
        <f aca="false">C32*Assumptions!$B$21+D32*Assumptions!$B$23</f>
        <v>38350</v>
      </c>
      <c r="H32" s="16" t="n">
        <f aca="false">D32*Assumptions!$B$9</f>
        <v>7080</v>
      </c>
      <c r="I32" s="16" t="n">
        <f aca="false">D32*Assumptions!$B$10</f>
        <v>17700</v>
      </c>
      <c r="J32" s="16" t="n">
        <f aca="false">CHOOSE(B32,Assumptions!$B$11,Assumptions!$B$12,Assumptions!$B$13)</f>
        <v>32000</v>
      </c>
      <c r="K32" s="16" t="n">
        <f aca="false">E32-H32-I32-J32</f>
        <v>-3680</v>
      </c>
      <c r="L32" s="16" t="n">
        <f aca="false">F32-H32-I32-J32</f>
        <v>-21380</v>
      </c>
      <c r="M32" s="16" t="n">
        <f aca="false">G32-H32-I32-J32</f>
        <v>-18430</v>
      </c>
    </row>
    <row r="33" customFormat="false" ht="15" hidden="false" customHeight="false" outlineLevel="0" collapsed="false">
      <c r="A33" s="17" t="n">
        <v>30</v>
      </c>
      <c r="B33" s="17" t="n">
        <f aca="false">INT((A33-1)/12)+1</f>
        <v>3</v>
      </c>
      <c r="C33" s="18" t="n">
        <f aca="false">C32+Assumptions!$B$6</f>
        <v>61</v>
      </c>
      <c r="D33" s="18" t="n">
        <f aca="false">C33*Assumptions!$B$7</f>
        <v>122</v>
      </c>
      <c r="E33" s="19" t="n">
        <f aca="false">D33*Assumptions!$B$17</f>
        <v>54900</v>
      </c>
      <c r="F33" s="19" t="n">
        <f aca="false">C33*Assumptions!$B$19</f>
        <v>36600</v>
      </c>
      <c r="G33" s="19" t="n">
        <f aca="false">C33*Assumptions!$B$21+D33*Assumptions!$B$23</f>
        <v>39650</v>
      </c>
      <c r="H33" s="19" t="n">
        <f aca="false">D33*Assumptions!$B$9</f>
        <v>7320</v>
      </c>
      <c r="I33" s="19" t="n">
        <f aca="false">D33*Assumptions!$B$10</f>
        <v>18300</v>
      </c>
      <c r="J33" s="19" t="n">
        <f aca="false">CHOOSE(B33,Assumptions!$B$11,Assumptions!$B$12,Assumptions!$B$13)</f>
        <v>32000</v>
      </c>
      <c r="K33" s="19" t="n">
        <f aca="false">E33-H33-I33-J33</f>
        <v>-2720</v>
      </c>
      <c r="L33" s="19" t="n">
        <f aca="false">F33-H33-I33-J33</f>
        <v>-21020</v>
      </c>
      <c r="M33" s="19" t="n">
        <f aca="false">G33-H33-I33-J33</f>
        <v>-17970</v>
      </c>
    </row>
    <row r="34" customFormat="false" ht="15" hidden="false" customHeight="false" outlineLevel="0" collapsed="false">
      <c r="A34" s="14" t="n">
        <v>31</v>
      </c>
      <c r="B34" s="14" t="n">
        <f aca="false">INT((A34-1)/12)+1</f>
        <v>3</v>
      </c>
      <c r="C34" s="15" t="n">
        <f aca="false">C33+Assumptions!$B$6</f>
        <v>63</v>
      </c>
      <c r="D34" s="15" t="n">
        <f aca="false">C34*Assumptions!$B$7</f>
        <v>126</v>
      </c>
      <c r="E34" s="16" t="n">
        <f aca="false">D34*Assumptions!$B$17</f>
        <v>56700</v>
      </c>
      <c r="F34" s="16" t="n">
        <f aca="false">C34*Assumptions!$B$19</f>
        <v>37800</v>
      </c>
      <c r="G34" s="16" t="n">
        <f aca="false">C34*Assumptions!$B$21+D34*Assumptions!$B$23</f>
        <v>40950</v>
      </c>
      <c r="H34" s="16" t="n">
        <f aca="false">D34*Assumptions!$B$9</f>
        <v>7560</v>
      </c>
      <c r="I34" s="16" t="n">
        <f aca="false">D34*Assumptions!$B$10</f>
        <v>18900</v>
      </c>
      <c r="J34" s="16" t="n">
        <f aca="false">CHOOSE(B34,Assumptions!$B$11,Assumptions!$B$12,Assumptions!$B$13)</f>
        <v>32000</v>
      </c>
      <c r="K34" s="16" t="n">
        <f aca="false">E34-H34-I34-J34</f>
        <v>-1760</v>
      </c>
      <c r="L34" s="16" t="n">
        <f aca="false">F34-H34-I34-J34</f>
        <v>-20660</v>
      </c>
      <c r="M34" s="16" t="n">
        <f aca="false">G34-H34-I34-J34</f>
        <v>-17510</v>
      </c>
    </row>
    <row r="35" customFormat="false" ht="15" hidden="false" customHeight="false" outlineLevel="0" collapsed="false">
      <c r="A35" s="17" t="n">
        <v>32</v>
      </c>
      <c r="B35" s="17" t="n">
        <f aca="false">INT((A35-1)/12)+1</f>
        <v>3</v>
      </c>
      <c r="C35" s="18" t="n">
        <f aca="false">C34+Assumptions!$B$6</f>
        <v>65</v>
      </c>
      <c r="D35" s="18" t="n">
        <f aca="false">C35*Assumptions!$B$7</f>
        <v>130</v>
      </c>
      <c r="E35" s="19" t="n">
        <f aca="false">D35*Assumptions!$B$17</f>
        <v>58500</v>
      </c>
      <c r="F35" s="19" t="n">
        <f aca="false">C35*Assumptions!$B$19</f>
        <v>39000</v>
      </c>
      <c r="G35" s="19" t="n">
        <f aca="false">C35*Assumptions!$B$21+D35*Assumptions!$B$23</f>
        <v>42250</v>
      </c>
      <c r="H35" s="19" t="n">
        <f aca="false">D35*Assumptions!$B$9</f>
        <v>7800</v>
      </c>
      <c r="I35" s="19" t="n">
        <f aca="false">D35*Assumptions!$B$10</f>
        <v>19500</v>
      </c>
      <c r="J35" s="19" t="n">
        <f aca="false">CHOOSE(B35,Assumptions!$B$11,Assumptions!$B$12,Assumptions!$B$13)</f>
        <v>32000</v>
      </c>
      <c r="K35" s="19" t="n">
        <f aca="false">E35-H35-I35-J35</f>
        <v>-800</v>
      </c>
      <c r="L35" s="19" t="n">
        <f aca="false">F35-H35-I35-J35</f>
        <v>-20300</v>
      </c>
      <c r="M35" s="19" t="n">
        <f aca="false">G35-H35-I35-J35</f>
        <v>-17050</v>
      </c>
    </row>
    <row r="36" customFormat="false" ht="15" hidden="false" customHeight="false" outlineLevel="0" collapsed="false">
      <c r="A36" s="14" t="n">
        <v>33</v>
      </c>
      <c r="B36" s="14" t="n">
        <f aca="false">INT((A36-1)/12)+1</f>
        <v>3</v>
      </c>
      <c r="C36" s="15" t="n">
        <f aca="false">C35+Assumptions!$B$6</f>
        <v>67</v>
      </c>
      <c r="D36" s="15" t="n">
        <f aca="false">C36*Assumptions!$B$7</f>
        <v>134</v>
      </c>
      <c r="E36" s="16" t="n">
        <f aca="false">D36*Assumptions!$B$17</f>
        <v>60300</v>
      </c>
      <c r="F36" s="16" t="n">
        <f aca="false">C36*Assumptions!$B$19</f>
        <v>40200</v>
      </c>
      <c r="G36" s="16" t="n">
        <f aca="false">C36*Assumptions!$B$21+D36*Assumptions!$B$23</f>
        <v>43550</v>
      </c>
      <c r="H36" s="16" t="n">
        <f aca="false">D36*Assumptions!$B$9</f>
        <v>8040</v>
      </c>
      <c r="I36" s="16" t="n">
        <f aca="false">D36*Assumptions!$B$10</f>
        <v>20100</v>
      </c>
      <c r="J36" s="16" t="n">
        <f aca="false">CHOOSE(B36,Assumptions!$B$11,Assumptions!$B$12,Assumptions!$B$13)</f>
        <v>32000</v>
      </c>
      <c r="K36" s="16" t="n">
        <f aca="false">E36-H36-I36-J36</f>
        <v>160</v>
      </c>
      <c r="L36" s="16" t="n">
        <f aca="false">F36-H36-I36-J36</f>
        <v>-19940</v>
      </c>
      <c r="M36" s="16" t="n">
        <f aca="false">G36-H36-I36-J36</f>
        <v>-16590</v>
      </c>
    </row>
    <row r="37" customFormat="false" ht="15" hidden="false" customHeight="false" outlineLevel="0" collapsed="false">
      <c r="A37" s="17" t="n">
        <v>34</v>
      </c>
      <c r="B37" s="17" t="n">
        <f aca="false">INT((A37-1)/12)+1</f>
        <v>3</v>
      </c>
      <c r="C37" s="18" t="n">
        <f aca="false">C36+Assumptions!$B$6</f>
        <v>69</v>
      </c>
      <c r="D37" s="18" t="n">
        <f aca="false">C37*Assumptions!$B$7</f>
        <v>138</v>
      </c>
      <c r="E37" s="19" t="n">
        <f aca="false">D37*Assumptions!$B$17</f>
        <v>62100</v>
      </c>
      <c r="F37" s="19" t="n">
        <f aca="false">C37*Assumptions!$B$19</f>
        <v>41400</v>
      </c>
      <c r="G37" s="19" t="n">
        <f aca="false">C37*Assumptions!$B$21+D37*Assumptions!$B$23</f>
        <v>44850</v>
      </c>
      <c r="H37" s="19" t="n">
        <f aca="false">D37*Assumptions!$B$9</f>
        <v>8280</v>
      </c>
      <c r="I37" s="19" t="n">
        <f aca="false">D37*Assumptions!$B$10</f>
        <v>20700</v>
      </c>
      <c r="J37" s="19" t="n">
        <f aca="false">CHOOSE(B37,Assumptions!$B$11,Assumptions!$B$12,Assumptions!$B$13)</f>
        <v>32000</v>
      </c>
      <c r="K37" s="19" t="n">
        <f aca="false">E37-H37-I37-J37</f>
        <v>1120</v>
      </c>
      <c r="L37" s="19" t="n">
        <f aca="false">F37-H37-I37-J37</f>
        <v>-19580</v>
      </c>
      <c r="M37" s="19" t="n">
        <f aca="false">G37-H37-I37-J37</f>
        <v>-16130</v>
      </c>
    </row>
    <row r="38" customFormat="false" ht="15" hidden="false" customHeight="false" outlineLevel="0" collapsed="false">
      <c r="A38" s="14" t="n">
        <v>35</v>
      </c>
      <c r="B38" s="14" t="n">
        <f aca="false">INT((A38-1)/12)+1</f>
        <v>3</v>
      </c>
      <c r="C38" s="15" t="n">
        <f aca="false">C37+Assumptions!$B$6</f>
        <v>71</v>
      </c>
      <c r="D38" s="15" t="n">
        <f aca="false">C38*Assumptions!$B$7</f>
        <v>142</v>
      </c>
      <c r="E38" s="16" t="n">
        <f aca="false">D38*Assumptions!$B$17</f>
        <v>63900</v>
      </c>
      <c r="F38" s="16" t="n">
        <f aca="false">C38*Assumptions!$B$19</f>
        <v>42600</v>
      </c>
      <c r="G38" s="16" t="n">
        <f aca="false">C38*Assumptions!$B$21+D38*Assumptions!$B$23</f>
        <v>46150</v>
      </c>
      <c r="H38" s="16" t="n">
        <f aca="false">D38*Assumptions!$B$9</f>
        <v>8520</v>
      </c>
      <c r="I38" s="16" t="n">
        <f aca="false">D38*Assumptions!$B$10</f>
        <v>21300</v>
      </c>
      <c r="J38" s="16" t="n">
        <f aca="false">CHOOSE(B38,Assumptions!$B$11,Assumptions!$B$12,Assumptions!$B$13)</f>
        <v>32000</v>
      </c>
      <c r="K38" s="16" t="n">
        <f aca="false">E38-H38-I38-J38</f>
        <v>2080</v>
      </c>
      <c r="L38" s="16" t="n">
        <f aca="false">F38-H38-I38-J38</f>
        <v>-19220</v>
      </c>
      <c r="M38" s="16" t="n">
        <f aca="false">G38-H38-I38-J38</f>
        <v>-15670</v>
      </c>
    </row>
    <row r="39" customFormat="false" ht="15" hidden="false" customHeight="false" outlineLevel="0" collapsed="false">
      <c r="A39" s="17" t="n">
        <v>36</v>
      </c>
      <c r="B39" s="17" t="n">
        <f aca="false">INT((A39-1)/12)+1</f>
        <v>3</v>
      </c>
      <c r="C39" s="18" t="n">
        <f aca="false">C38+Assumptions!$B$6</f>
        <v>73</v>
      </c>
      <c r="D39" s="18" t="n">
        <f aca="false">C39*Assumptions!$B$7</f>
        <v>146</v>
      </c>
      <c r="E39" s="19" t="n">
        <f aca="false">D39*Assumptions!$B$17</f>
        <v>65700</v>
      </c>
      <c r="F39" s="19" t="n">
        <f aca="false">C39*Assumptions!$B$19</f>
        <v>43800</v>
      </c>
      <c r="G39" s="19" t="n">
        <f aca="false">C39*Assumptions!$B$21+D39*Assumptions!$B$23</f>
        <v>47450</v>
      </c>
      <c r="H39" s="19" t="n">
        <f aca="false">D39*Assumptions!$B$9</f>
        <v>8760</v>
      </c>
      <c r="I39" s="19" t="n">
        <f aca="false">D39*Assumptions!$B$10</f>
        <v>21900</v>
      </c>
      <c r="J39" s="19" t="n">
        <f aca="false">CHOOSE(B39,Assumptions!$B$11,Assumptions!$B$12,Assumptions!$B$13)</f>
        <v>32000</v>
      </c>
      <c r="K39" s="19" t="n">
        <f aca="false">E39-H39-I39-J39</f>
        <v>3040</v>
      </c>
      <c r="L39" s="19" t="n">
        <f aca="false">F39-H39-I39-J39</f>
        <v>-18860</v>
      </c>
      <c r="M39" s="19" t="n">
        <f aca="false">G39-H39-I39-J39</f>
        <v>-15210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6" min="2" style="0" width="17"/>
  </cols>
  <sheetData>
    <row r="1" customFormat="false" ht="18.55" hidden="false" customHeight="false" outlineLevel="0" collapsed="false">
      <c r="A1" s="1" t="s">
        <v>39</v>
      </c>
    </row>
    <row r="2" customFormat="false" ht="15" hidden="false" customHeight="false" outlineLevel="0" collapsed="false">
      <c r="A2" s="2" t="s">
        <v>40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20" t="s">
        <v>41</v>
      </c>
    </row>
    <row r="5" customFormat="false" ht="23.85" hidden="false" customHeight="false" outlineLevel="0" collapsed="false">
      <c r="A5" s="21" t="s">
        <v>42</v>
      </c>
      <c r="B5" s="21" t="s">
        <v>43</v>
      </c>
      <c r="C5" s="21" t="s">
        <v>44</v>
      </c>
      <c r="D5" s="21" t="s">
        <v>45</v>
      </c>
      <c r="E5" s="21" t="s">
        <v>46</v>
      </c>
      <c r="F5" s="21" t="s">
        <v>47</v>
      </c>
    </row>
    <row r="6" customFormat="false" ht="15" hidden="false" customHeight="false" outlineLevel="0" collapsed="false">
      <c r="A6" s="22" t="s">
        <v>48</v>
      </c>
      <c r="B6" s="23" t="n">
        <f aca="false">SUMIF('Monthly Engine'!$B$4:$B$39,1,'Monthly Engine'!$E$4:$E$39)</f>
        <v>151200</v>
      </c>
      <c r="C6" s="23" t="n">
        <f aca="false">SUMIF('Monthly Engine'!$B$4:$B$39,2,'Monthly Engine'!$E$4:$E$39)</f>
        <v>410400</v>
      </c>
      <c r="D6" s="23" t="n">
        <f aca="false">SUMIF('Monthly Engine'!$B$4:$B$39,3,'Monthly Engine'!$E$4:$E$39)</f>
        <v>669600</v>
      </c>
      <c r="E6" s="23" t="n">
        <f aca="false">SUM(B6:D6)</f>
        <v>1231200</v>
      </c>
      <c r="F6" s="23" t="n">
        <f aca="false">'Monthly Engine'!E39</f>
        <v>65700</v>
      </c>
    </row>
    <row r="7" customFormat="false" ht="15" hidden="false" customHeight="false" outlineLevel="0" collapsed="false">
      <c r="A7" s="22" t="s">
        <v>49</v>
      </c>
      <c r="B7" s="24" t="n">
        <f aca="false">SUMIF('Monthly Engine'!$B$4:$B$39,1,'Monthly Engine'!$F$4:$F$39)</f>
        <v>100800</v>
      </c>
      <c r="C7" s="24" t="n">
        <f aca="false">SUMIF('Monthly Engine'!$B$4:$B$39,2,'Monthly Engine'!$F$4:$F$39)</f>
        <v>273600</v>
      </c>
      <c r="D7" s="24" t="n">
        <f aca="false">SUMIF('Monthly Engine'!$B$4:$B$39,3,'Monthly Engine'!$F$4:$F$39)</f>
        <v>446400</v>
      </c>
      <c r="E7" s="24" t="n">
        <f aca="false">SUM(B7:D7)</f>
        <v>820800</v>
      </c>
      <c r="F7" s="24" t="n">
        <f aca="false">'Monthly Engine'!F39</f>
        <v>43800</v>
      </c>
    </row>
    <row r="8" customFormat="false" ht="15" hidden="false" customHeight="false" outlineLevel="0" collapsed="false">
      <c r="A8" s="22" t="s">
        <v>50</v>
      </c>
      <c r="B8" s="23" t="n">
        <f aca="false">SUMIF('Monthly Engine'!$B$4:$B$39,1,'Monthly Engine'!$G$4:$G$39)</f>
        <v>109200</v>
      </c>
      <c r="C8" s="23" t="n">
        <f aca="false">SUMIF('Monthly Engine'!$B$4:$B$39,2,'Monthly Engine'!$G$4:$G$39)</f>
        <v>296400</v>
      </c>
      <c r="D8" s="23" t="n">
        <f aca="false">SUMIF('Monthly Engine'!$B$4:$B$39,3,'Monthly Engine'!$G$4:$G$39)</f>
        <v>483600</v>
      </c>
      <c r="E8" s="23" t="n">
        <f aca="false">SUM(B8:D8)</f>
        <v>889200</v>
      </c>
      <c r="F8" s="23" t="n">
        <f aca="false">'Monthly Engine'!G39</f>
        <v>47450</v>
      </c>
    </row>
    <row r="11" customFormat="false" ht="15" hidden="false" customHeight="false" outlineLevel="0" collapsed="false">
      <c r="A11" s="20" t="s">
        <v>51</v>
      </c>
    </row>
    <row r="12" customFormat="false" ht="23.85" hidden="false" customHeight="false" outlineLevel="0" collapsed="false">
      <c r="A12" s="21" t="s">
        <v>42</v>
      </c>
      <c r="B12" s="21" t="s">
        <v>43</v>
      </c>
      <c r="C12" s="21" t="s">
        <v>44</v>
      </c>
      <c r="D12" s="21" t="s">
        <v>45</v>
      </c>
      <c r="E12" s="21" t="s">
        <v>46</v>
      </c>
      <c r="F12" s="21" t="s">
        <v>47</v>
      </c>
    </row>
    <row r="13" customFormat="false" ht="15" hidden="false" customHeight="false" outlineLevel="0" collapsed="false">
      <c r="A13" s="22" t="s">
        <v>48</v>
      </c>
      <c r="B13" s="23" t="n">
        <f aca="false">SUMIF('Monthly Engine'!$B$4:$B$39,1,'Monthly Engine'!$K$4:$K$39)</f>
        <v>-63360</v>
      </c>
      <c r="C13" s="23" t="n">
        <f aca="false">SUMIF('Monthly Engine'!$B$4:$B$39,2,'Monthly Engine'!$K$4:$K$39)</f>
        <v>-45120</v>
      </c>
      <c r="D13" s="23" t="n">
        <f aca="false">SUMIF('Monthly Engine'!$B$4:$B$39,3,'Monthly Engine'!$K$4:$K$39)</f>
        <v>-26880</v>
      </c>
      <c r="E13" s="23" t="n">
        <f aca="false">SUM(B13:D13)</f>
        <v>-135360</v>
      </c>
      <c r="F13" s="23" t="n">
        <f aca="false">'Monthly Engine'!K39</f>
        <v>3040</v>
      </c>
    </row>
    <row r="14" customFormat="false" ht="15" hidden="false" customHeight="false" outlineLevel="0" collapsed="false">
      <c r="A14" s="22" t="s">
        <v>49</v>
      </c>
      <c r="B14" s="24" t="n">
        <f aca="false">SUMIF('Monthly Engine'!$B$4:$B$39,1,'Monthly Engine'!$L$4:$L$39)</f>
        <v>-113760</v>
      </c>
      <c r="C14" s="24" t="n">
        <f aca="false">SUMIF('Monthly Engine'!$B$4:$B$39,2,'Monthly Engine'!$L$4:$L$39)</f>
        <v>-181920</v>
      </c>
      <c r="D14" s="24" t="n">
        <f aca="false">SUMIF('Monthly Engine'!$B$4:$B$39,3,'Monthly Engine'!$L$4:$L$39)</f>
        <v>-250080</v>
      </c>
      <c r="E14" s="24" t="n">
        <f aca="false">SUM(B14:D14)</f>
        <v>-545760</v>
      </c>
      <c r="F14" s="24" t="n">
        <f aca="false">'Monthly Engine'!L39</f>
        <v>-18860</v>
      </c>
    </row>
    <row r="15" customFormat="false" ht="15" hidden="false" customHeight="false" outlineLevel="0" collapsed="false">
      <c r="A15" s="22" t="s">
        <v>50</v>
      </c>
      <c r="B15" s="23" t="n">
        <f aca="false">SUMIF('Monthly Engine'!$B$4:$B$39,1,'Monthly Engine'!$M$4:$M$39)</f>
        <v>-105360</v>
      </c>
      <c r="C15" s="23" t="n">
        <f aca="false">SUMIF('Monthly Engine'!$B$4:$B$39,2,'Monthly Engine'!$M$4:$M$39)</f>
        <v>-159120</v>
      </c>
      <c r="D15" s="23" t="n">
        <f aca="false">SUMIF('Monthly Engine'!$B$4:$B$39,3,'Monthly Engine'!$M$4:$M$39)</f>
        <v>-212880</v>
      </c>
      <c r="E15" s="23" t="n">
        <f aca="false">SUM(B15:D15)</f>
        <v>-477360</v>
      </c>
      <c r="F15" s="23" t="n">
        <f aca="false">'Monthly Engine'!M39</f>
        <v>-15210</v>
      </c>
    </row>
    <row r="18" customFormat="false" ht="15" hidden="false" customHeight="false" outlineLevel="0" collapsed="false">
      <c r="A18" s="20" t="s">
        <v>52</v>
      </c>
    </row>
    <row r="19" customFormat="false" ht="15" hidden="false" customHeight="false" outlineLevel="0" collapsed="false">
      <c r="A19" s="25" t="s">
        <v>53</v>
      </c>
      <c r="B19" s="25" t="s">
        <v>48</v>
      </c>
      <c r="C19" s="25" t="s">
        <v>49</v>
      </c>
      <c r="D19" s="25" t="s">
        <v>50</v>
      </c>
    </row>
    <row r="20" customFormat="false" ht="15" hidden="false" customHeight="false" outlineLevel="0" collapsed="false">
      <c r="A20" s="26" t="s">
        <v>54</v>
      </c>
      <c r="B20" s="27" t="s">
        <v>55</v>
      </c>
      <c r="C20" s="27" t="s">
        <v>56</v>
      </c>
      <c r="D20" s="27" t="s">
        <v>57</v>
      </c>
    </row>
    <row r="21" customFormat="false" ht="15" hidden="false" customHeight="false" outlineLevel="0" collapsed="false">
      <c r="A21" s="28" t="s">
        <v>58</v>
      </c>
      <c r="B21" s="29" t="s">
        <v>59</v>
      </c>
      <c r="C21" s="29" t="s">
        <v>60</v>
      </c>
      <c r="D21" s="29" t="s">
        <v>57</v>
      </c>
    </row>
    <row r="22" customFormat="false" ht="15" hidden="false" customHeight="false" outlineLevel="0" collapsed="false">
      <c r="A22" s="26" t="s">
        <v>61</v>
      </c>
      <c r="B22" s="27" t="s">
        <v>62</v>
      </c>
      <c r="C22" s="27" t="s">
        <v>63</v>
      </c>
      <c r="D22" s="27" t="s">
        <v>64</v>
      </c>
    </row>
    <row r="23" customFormat="false" ht="15" hidden="false" customHeight="false" outlineLevel="0" collapsed="false">
      <c r="A23" s="28" t="s">
        <v>65</v>
      </c>
      <c r="B23" s="29" t="s">
        <v>66</v>
      </c>
      <c r="C23" s="29" t="s">
        <v>67</v>
      </c>
      <c r="D23" s="29" t="s">
        <v>66</v>
      </c>
    </row>
    <row r="24" customFormat="false" ht="15" hidden="false" customHeight="false" outlineLevel="0" collapsed="false">
      <c r="A24" s="26" t="s">
        <v>68</v>
      </c>
      <c r="B24" s="27" t="s">
        <v>69</v>
      </c>
      <c r="C24" s="27" t="s">
        <v>70</v>
      </c>
      <c r="D24" s="27" t="s">
        <v>71</v>
      </c>
    </row>
    <row r="25" customFormat="false" ht="15" hidden="false" customHeight="false" outlineLevel="0" collapsed="false">
      <c r="A25" s="28" t="s">
        <v>72</v>
      </c>
      <c r="B25" s="29" t="s">
        <v>73</v>
      </c>
      <c r="C25" s="29" t="s">
        <v>74</v>
      </c>
      <c r="D25" s="29" t="s">
        <v>75</v>
      </c>
    </row>
    <row r="27" customFormat="false" ht="15" hidden="false" customHeight="true" outlineLevel="0" collapsed="false">
      <c r="A27" s="30" t="s">
        <v>76</v>
      </c>
      <c r="B27" s="30"/>
      <c r="C27" s="30"/>
      <c r="D27" s="30"/>
      <c r="E27" s="30"/>
      <c r="F27" s="30"/>
    </row>
    <row r="28" customFormat="false" ht="15" hidden="false" customHeight="false" outlineLevel="0" collapsed="false">
      <c r="A28" s="30"/>
      <c r="B28" s="30"/>
      <c r="C28" s="30"/>
      <c r="D28" s="30"/>
      <c r="E28" s="30"/>
      <c r="F28" s="30"/>
    </row>
    <row r="30" customFormat="false" ht="15" hidden="false" customHeight="false" outlineLevel="0" collapsed="false">
      <c r="A30" s="0" t="s">
        <v>42</v>
      </c>
      <c r="B30" s="0" t="s">
        <v>77</v>
      </c>
      <c r="C30" s="0" t="s">
        <v>78</v>
      </c>
    </row>
    <row r="31" customFormat="false" ht="15" hidden="false" customHeight="false" outlineLevel="0" collapsed="false">
      <c r="A31" s="0" t="s">
        <v>48</v>
      </c>
      <c r="B31" s="31" t="n">
        <f aca="false">E6</f>
        <v>1231200</v>
      </c>
      <c r="C31" s="31" t="n">
        <f aca="false">E13</f>
        <v>-135360</v>
      </c>
    </row>
    <row r="32" customFormat="false" ht="15" hidden="false" customHeight="false" outlineLevel="0" collapsed="false">
      <c r="A32" s="0" t="s">
        <v>49</v>
      </c>
      <c r="B32" s="31" t="n">
        <f aca="false">E7</f>
        <v>820800</v>
      </c>
      <c r="C32" s="31" t="n">
        <f aca="false">E14</f>
        <v>-545760</v>
      </c>
    </row>
    <row r="33" customFormat="false" ht="15" hidden="false" customHeight="false" outlineLevel="0" collapsed="false">
      <c r="A33" s="0" t="s">
        <v>50</v>
      </c>
      <c r="B33" s="31" t="n">
        <f aca="false">E8</f>
        <v>889200</v>
      </c>
      <c r="C33" s="31" t="n">
        <f aca="false">E15</f>
        <v>-477360</v>
      </c>
    </row>
  </sheetData>
  <mergeCells count="2">
    <mergeCell ref="A2:F2"/>
    <mergeCell ref="A27:F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2026-07-01T14:43:21Z</dcterms:created>
  <dc:creator>openpyxl</dc:creator>
  <dc:description/>
  <dc:language>en-US</dc:language>
  <cp:lastModifiedBy/>
  <dcterms:modified xsi:type="dcterms:W3CDTF">2026-07-01T14:43:25Z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