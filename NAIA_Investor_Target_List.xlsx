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List" sheetId="1" state="visible" r:id="rId3"/>
    <sheet name="Pipeline Math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<sst xmlns="http://schemas.openxmlformats.org/spreadsheetml/2006/main" count="263" uniqueCount="189">
  <si>
    <t xml:space="preserve">NAIA — Investor Target List &amp; Outreach Tracker</t>
  </si>
  <si>
    <t xml:space="preserve">Pre-seed £500k SEIS/EIS · UK &amp; Europe · Work these one by one. Update Status + Next action as you go. Sorted by fit (Tier A = start here).</t>
  </si>
  <si>
    <t xml:space="preserve">Tier</t>
  </si>
  <si>
    <t xml:space="preserve">Investor / Network</t>
  </si>
  <si>
    <t xml:space="preserve">Type</t>
  </si>
  <si>
    <t xml:space="preserve">Geography</t>
  </si>
  <si>
    <t xml:space="preserve">Typical cheque</t>
  </si>
  <si>
    <t xml:space="preserve">Why they fit NAIA</t>
  </si>
  <si>
    <t xml:space="preserve">How to reach / warm-intro path</t>
  </si>
  <si>
    <t xml:space="preserve">Link</t>
  </si>
  <si>
    <t xml:space="preserve">Status</t>
  </si>
  <si>
    <t xml:space="preserve">Next action</t>
  </si>
  <si>
    <t xml:space="preserve">A</t>
  </si>
  <si>
    <t xml:space="preserve">Calm/Storm Ventures</t>
  </si>
  <si>
    <t xml:space="preserve">VC — pre-seed/seed</t>
  </si>
  <si>
    <t xml:space="preserve">Europe</t>
  </si>
  <si>
    <t xml:space="preserve">€50k–€250k</t>
  </si>
  <si>
    <t xml:space="preserve">Most active health investor in Europe; explicitly backs femtech &amp; female founders. Cosmetic/elective skews female — squarely their thesis.</t>
  </si>
  <si>
    <t xml:space="preserve">Warm intro via portfolio founder ideal; else concise cold email + deck. Follow partners on LinkedIn first.</t>
  </si>
  <si>
    <t xml:space="preserve">calmstorm.vc</t>
  </si>
  <si>
    <t xml:space="preserve">To contact</t>
  </si>
  <si>
    <t xml:space="preserve">Ada Ventures</t>
  </si>
  <si>
    <t xml:space="preserve">UK</t>
  </si>
  <si>
    <t xml:space="preserve">£100k–£500k</t>
  </si>
  <si>
    <t xml:space="preserve">Backs overlooked founders &amp; underserved consumer markets; strong women's-health lean. Trust-led, inclusive health fits their brand.</t>
  </si>
  <si>
    <t xml:space="preserve">They run an open 'scout' network + accessible application. Get a scout or founder intro.</t>
  </si>
  <si>
    <t xml:space="preserve">adaventures.com</t>
  </si>
  <si>
    <t xml:space="preserve">Angel Academe</t>
  </si>
  <si>
    <t xml:space="preserve">Angel network</t>
  </si>
  <si>
    <t xml:space="preserve">£25k–£300k (syndicated)</t>
  </si>
  <si>
    <t xml:space="preserve">400+ members, backs female-founded tech. Founder fit + women's-health category = double match. Writes syndicated cheques that can anchor.</t>
  </si>
  <si>
    <t xml:space="preserve">Apply via their site / pitch events; warm intro from a member accelerates it.</t>
  </si>
  <si>
    <t xml:space="preserve">angelacademe.com</t>
  </si>
  <si>
    <t xml:space="preserve">Goddess Gaia Ventures</t>
  </si>
  <si>
    <t xml:space="preserve">VC — women's health</t>
  </si>
  <si>
    <t xml:space="preserve">UK/Global</t>
  </si>
  <si>
    <t xml:space="preserve">Seed-stage</t>
  </si>
  <si>
    <t xml:space="preserve">Dedicated women's-healthcare fund. Cosmetic/aesthetic health is on-thesis; strong signal if they engage.</t>
  </si>
  <si>
    <t xml:space="preserve">Cold email partners with a tight women's-health framing; LinkedIn.</t>
  </si>
  <si>
    <t xml:space="preserve">goddessgaiaventures.com</t>
  </si>
  <si>
    <t xml:space="preserve">To research</t>
  </si>
  <si>
    <t xml:space="preserve">Speedinvest (Health)</t>
  </si>
  <si>
    <t xml:space="preserve">€100k–€1M+</t>
  </si>
  <si>
    <t xml:space="preserve">Dedicated health team, does consumer health &amp; marketplaces at pre-seed. Pan-European reach matches cross-border thesis.</t>
  </si>
  <si>
    <t xml:space="preserve">Health team is reachable via LinkedIn / warm intro; strong deck needed.</t>
  </si>
  <si>
    <t xml:space="preserve">speedinvest.com/health</t>
  </si>
  <si>
    <t xml:space="preserve">B</t>
  </si>
  <si>
    <t xml:space="preserve">SFC Capital</t>
  </si>
  <si>
    <t xml:space="preserve">VC/Angel fund — SEIS/EIS</t>
  </si>
  <si>
    <t xml:space="preserve">£100k–£250k (SEIS)</t>
  </si>
  <si>
    <t xml:space="preserve">The most active SEIS investor in the UK (400+ startups). Perfect anchor for the SEIS portion; generalist, does consumer.</t>
  </si>
  <si>
    <t xml:space="preserve">Apply directly on their site (fast, structured). This is a priority anchor conversation.</t>
  </si>
  <si>
    <t xml:space="preserve">sfccapital.com</t>
  </si>
  <si>
    <t xml:space="preserve">Fuel Ventures</t>
  </si>
  <si>
    <t xml:space="preserve">VC — pre-seed→A</t>
  </si>
  <si>
    <t xml:space="preserve">One of the most active UK VCs; explicit marketplace &amp; software focus. NAIA is a two-sided marketplace — direct thesis fit.</t>
  </si>
  <si>
    <t xml:space="preserve">Apply via site + warm intro. Lead with marketplace/liquidity flywheel.</t>
  </si>
  <si>
    <t xml:space="preserve">fuel.ventures</t>
  </si>
  <si>
    <t xml:space="preserve">Haatch</t>
  </si>
  <si>
    <t xml:space="preserve">VC — SEIS/EIS</t>
  </si>
  <si>
    <t xml:space="preserve">£150k–£300k</t>
  </si>
  <si>
    <t xml:space="preserve">Very active early-stage SEIS/EIS fund. Digital-first businesses; will consider consumer marketplace with traction signal.</t>
  </si>
  <si>
    <t xml:space="preserve">Apply via site; warm intro from portfolio founder helps.</t>
  </si>
  <si>
    <t xml:space="preserve">haatch.com</t>
  </si>
  <si>
    <t xml:space="preserve">Ascension</t>
  </si>
  <si>
    <t xml:space="preserve">£100k–£300k</t>
  </si>
  <si>
    <t xml:space="preserve">Active SEIS/EIS + impact/consumer/fintech funds. Health-and-access angle fits their impact vehicle.</t>
  </si>
  <si>
    <t xml:space="preserve">Apply via site; specify SEIS/EIS eligibility up front.</t>
  </si>
  <si>
    <t xml:space="preserve">ascension.vc</t>
  </si>
  <si>
    <t xml:space="preserve">Concept Ventures</t>
  </si>
  <si>
    <t xml:space="preserve">VC — dedicated pre-seed</t>
  </si>
  <si>
    <t xml:space="preserve">£200k–£1M</t>
  </si>
  <si>
    <t xml:space="preserve">Largest UK dedicated pre-seed fund. AI-forward — lean into NAIA's AI-concierge + proprietary conversation data.</t>
  </si>
  <si>
    <t xml:space="preserve">Warm intro strongly preferred; AI angle is the hook.</t>
  </si>
  <si>
    <t xml:space="preserve">conceptventures.vc</t>
  </si>
  <si>
    <t xml:space="preserve">Playfair Capital</t>
  </si>
  <si>
    <t xml:space="preserve">VC — pre-seed</t>
  </si>
  <si>
    <t xml:space="preserve">£300k–£1M</t>
  </si>
  <si>
    <t xml:space="preserve">Pre-seed specialist since 2013; backs on team + thesis pre-PMF. Marketplace-friendly.</t>
  </si>
  <si>
    <t xml:space="preserve">Warm intro; they publish clear pre-seed criteria.</t>
  </si>
  <si>
    <t xml:space="preserve">playfair.vc</t>
  </si>
  <si>
    <t xml:space="preserve">Mercia Ventures</t>
  </si>
  <si>
    <t xml:space="preserve">VC — pre-seed→A (SEIS/EIS)</t>
  </si>
  <si>
    <t xml:space="preserve">UK (regional)</t>
  </si>
  <si>
    <t xml:space="preserve">up to £10M</t>
  </si>
  <si>
    <t xml:space="preserve">Generalist incl. consumer &amp; healthtech; strong outside London. SEIS/EIS vehicles available.</t>
  </si>
  <si>
    <t xml:space="preserve">Regional offices; apply/intro. Good if you're outside London.</t>
  </si>
  <si>
    <t xml:space="preserve">mercia.co.uk</t>
  </si>
  <si>
    <t xml:space="preserve">Maven Capital Partners</t>
  </si>
  <si>
    <t xml:space="preserve">VC — early stage</t>
  </si>
  <si>
    <t xml:space="preserve">up to £20M</t>
  </si>
  <si>
    <t xml:space="preserve">Generalist across healthtech, consumer, marketing. Regional angel co-invest funds.</t>
  </si>
  <si>
    <t xml:space="preserve">Apply via site; regional angel networks feed them.</t>
  </si>
  <si>
    <t xml:space="preserve">mavencp.com</t>
  </si>
  <si>
    <t xml:space="preserve">C</t>
  </si>
  <si>
    <t xml:space="preserve">Antler (London)</t>
  </si>
  <si>
    <t xml:space="preserve">Accelerator/VC — pre-seed</t>
  </si>
  <si>
    <t xml:space="preserve">~£100k+ first cheque</t>
  </si>
  <si>
    <t xml:space="preserve">Backs founders at the earliest stage and writes a first cheque fast. Good fit for an urgent, founder-led pre-seed.</t>
  </si>
  <si>
    <t xml:space="preserve">Apply to a London cohort; also invests in external pre-seed.</t>
  </si>
  <si>
    <t xml:space="preserve">antler.co</t>
  </si>
  <si>
    <t xml:space="preserve">Zinc VC</t>
  </si>
  <si>
    <t xml:space="preserve">Mission-led builder/VC</t>
  </si>
  <si>
    <t xml:space="preserve">Pre-seed</t>
  </si>
  <si>
    <t xml:space="preserve">Builds companies around health &amp; societal missions incl. women's health. Strong values alignment.</t>
  </si>
  <si>
    <t xml:space="preserve">Programme applications + direct outreach.</t>
  </si>
  <si>
    <t xml:space="preserve">zinc.vc</t>
  </si>
  <si>
    <t xml:space="preserve">Founders Factory (Health)</t>
  </si>
  <si>
    <t xml:space="preserve">Accelerator + investment</t>
  </si>
  <si>
    <t xml:space="preserve">Health accelerator with corporate partners; hands-on + capital + clinical network.</t>
  </si>
  <si>
    <t xml:space="preserve">Apply to health track; partner intros.</t>
  </si>
  <si>
    <t xml:space="preserve">foundersfactory.com</t>
  </si>
  <si>
    <t xml:space="preserve">Cambridge Angels</t>
  </si>
  <si>
    <t xml:space="preserve">£100k–£500k (pooled)</t>
  </si>
  <si>
    <t xml:space="preserve">~60 experienced angels, many exited founders; healthcare-tools &amp; science lean. Higher bar but high-signal.</t>
  </si>
  <si>
    <t xml:space="preserve">Requires member sponsor to pitch — find a warm route in.</t>
  </si>
  <si>
    <t xml:space="preserve">cambridgeangels.com</t>
  </si>
  <si>
    <t xml:space="preserve">Angels in MedCity</t>
  </si>
  <si>
    <t xml:space="preserve">Angel network — life sciences</t>
  </si>
  <si>
    <t xml:space="preserve">UK (London)</t>
  </si>
  <si>
    <t xml:space="preserve">£50k–£500k</t>
  </si>
  <si>
    <t xml:space="preserve">London life-sciences angel network. More clinical/biotech, but a route to health-savvy angels.</t>
  </si>
  <si>
    <t xml:space="preserve">Pitch events; apply via site.</t>
  </si>
  <si>
    <t xml:space="preserve">angelsinmedcity.co.uk</t>
  </si>
  <si>
    <t xml:space="preserve">UK Business Angels Assoc. (UKBAA)</t>
  </si>
  <si>
    <t xml:space="preserve">Umbrella body</t>
  </si>
  <si>
    <t xml:space="preserve">Directory</t>
  </si>
  <si>
    <t xml:space="preserve">Not an investor — the map to 150+ UK angel networks &amp; syndicates. Use to find corridor-relevant angels fast.</t>
  </si>
  <si>
    <t xml:space="preserve">Membership / directory; attend Investor events.</t>
  </si>
  <si>
    <t xml:space="preserve">ukbaa.org.uk</t>
  </si>
  <si>
    <t xml:space="preserve">Angel Investment Network</t>
  </si>
  <si>
    <t xml:space="preserve">Online angel platform</t>
  </si>
  <si>
    <t xml:space="preserve">£10k–£100k</t>
  </si>
  <si>
    <t xml:space="preserve">Large online marketplace of angels; good for volume top-of-funnel while you work warm leads.</t>
  </si>
  <si>
    <t xml:space="preserve">Create a profile + pitch; message matched angels.</t>
  </si>
  <si>
    <t xml:space="preserve">angelinvestmentnetwork.co.uk</t>
  </si>
  <si>
    <t xml:space="preserve">A*</t>
  </si>
  <si>
    <t xml:space="preserve">Aesthetics/clinic-industry angel</t>
  </si>
  <si>
    <t xml:space="preserve">Individual angel</t>
  </si>
  <si>
    <t xml:space="preserve">UK/EU</t>
  </si>
  <si>
    <t xml:space="preserve">£10k–£50k</t>
  </si>
  <si>
    <t xml:space="preserve">Someone who owns/runs cosmetic clinics or aesthetics brands: brings capital + supply-side credibility + first clinics.</t>
  </si>
  <si>
    <t xml:space="preserve">Map from LinkedIn + your network; ask clinics you approach who invests.</t>
  </si>
  <si>
    <t xml:space="preserve">(source via network)</t>
  </si>
  <si>
    <t xml:space="preserve">Ex-marketplace operator/founder</t>
  </si>
  <si>
    <t xml:space="preserve">Founder/operator who scaled a two-sided marketplace — pattern-matches your model and helps with liquidity.</t>
  </si>
  <si>
    <t xml:space="preserve">LinkedIn; alumni of Deliveroo/Treatwell/etc. Ask VCs for angel intros.</t>
  </si>
  <si>
    <t xml:space="preserve">Medical-tourism / travel-health operator</t>
  </si>
  <si>
    <t xml:space="preserve">UK/EU/MENA</t>
  </si>
  <si>
    <t xml:space="preserve">Understands the corridor economics; can open clinic and destination doors.</t>
  </si>
  <si>
    <t xml:space="preserve">Industry events; LinkedIn; corridor partners.</t>
  </si>
  <si>
    <t xml:space="preserve">Health/femtech operator angel</t>
  </si>
  <si>
    <t xml:space="preserve">Credible health operator gives medical-trust signal to later investors.</t>
  </si>
  <si>
    <t xml:space="preserve">Angel Academe members; health-founder networks.</t>
  </si>
  <si>
    <t xml:space="preserve">Tier A = start here (best thesis fit). B = active UK SEIS/EIS + marketplace generalists. C = networks/accelerators/stretch. A* = individual-angel archetypes to source from your own network — often the fastest yeses for an urgent round.</t>
  </si>
  <si>
    <t xml:space="preserve">Verify each investor's current stage/thesis on their site before contacting — funds change focus. Links are home pages, not endorsements.</t>
  </si>
  <si>
    <t xml:space="preserve">How many investors do you need to contact?</t>
  </si>
  <si>
    <t xml:space="preserve">Pre-seed conversion is a funnel. Edit the blue inputs; the rest calculates. Rule of thumb baked in below.</t>
  </si>
  <si>
    <t xml:space="preserve">Structure the round: big cheques first, angels fill the rest</t>
  </si>
  <si>
    <t xml:space="preserve">Target raise (£)</t>
  </si>
  <si>
    <t xml:space="preserve">Anchor cheque from a SEIS/lead fund (£)</t>
  </si>
  <si>
    <t xml:space="preserve">Cheque from an angel network / syndicate (£)</t>
  </si>
  <si>
    <t xml:space="preserve">Remaining from individual angels (£)</t>
  </si>
  <si>
    <t xml:space="preserve">Average individual angel cheque (£)</t>
  </si>
  <si>
    <t xml:space="preserve">Individual angel commitments needed</t>
  </si>
  <si>
    <t xml:space="preserve">Work backwards up the angel funnel (warm/SEIS rates)</t>
  </si>
  <si>
    <t xml:space="preserve">Verbal yes → committed rate</t>
  </si>
  <si>
    <t xml:space="preserve">Second meeting → verbal yes rate</t>
  </si>
  <si>
    <t xml:space="preserve">First meeting → second meeting rate</t>
  </si>
  <si>
    <t xml:space="preserve">Warm outreach → first meeting rate</t>
  </si>
  <si>
    <t xml:space="preserve">Verbal yeses needed</t>
  </si>
  <si>
    <t xml:space="preserve">Second meetings needed</t>
  </si>
  <si>
    <t xml:space="preserve">First meetings needed</t>
  </si>
  <si>
    <t xml:space="preserve">Warm angel conversations needed</t>
  </si>
  <si>
    <t xml:space="preserve">+ Funds to approach (from Tier A/B list)</t>
  </si>
  <si>
    <t xml:space="preserve">6–8</t>
  </si>
  <si>
    <t xml:space="preserve">+ Angel networks/syndicates to approach</t>
  </si>
  <si>
    <t xml:space="preserve">3–5</t>
  </si>
  <si>
    <t xml:space="preserve">Takeaway</t>
  </si>
  <si>
    <t xml:space="preserve">The single biggest lever is structure. A £150k anchor fund + a £100k network/syndicate cheque cover half the round in ~2 tickets — so you only need ~10 individual angels, i.e. roughly the number of warm conversations in B19 (not hundreds). Source those angels via the A* archetypes on the target list and by asking every investor for two intros. Cold-only angel raising needs 3–5x this volume — which is exactly why warm intros + an anchor are the whole strategy.</t>
  </si>
  <si>
    <t xml:space="preserve">How to use this tracker</t>
  </si>
  <si>
    <t xml:space="preserve">1. Start with Tier A and your own A* angel archetypes — warm, high-fit, fastest to yes.</t>
  </si>
  <si>
    <t xml:space="preserve">2. Book the SFC Capital and Fuel Ventures conversations early: an SEIS anchor fund cheque de-risks the whole round for angels.</t>
  </si>
  <si>
    <t xml:space="preserve">3. For every fund, spend 10 minutes verifying current thesis + stage on their site before contacting. Note it in Next action.</t>
  </si>
  <si>
    <t xml:space="preserve">4. Prioritise warm intros. For each cold target, ask: who in my network can introduce me? Log the path in the 'How to reach' column.</t>
  </si>
  <si>
    <t xml:space="preserve">5. Update Status after every touch. Keep momentum visible — a live pipeline is itself a fundraising tool.</t>
  </si>
  <si>
    <t xml:space="preserve">6. Run outreach in weekly batches (see the Fundraising Strategy doc), not all at once — you want overlapping conversations to create urgency.</t>
  </si>
  <si>
    <t xml:space="preserve">7. Get HMRC SEIS/EIS advance assurance BEFORE serious outreach — most UK angels ask for it first.</t>
  </si>
  <si>
    <t xml:space="preserve">8. Track the funnel on the Pipeline Math tab so you always know how many more conversations you need.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</si>
</sst>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"/>
    <numFmt numFmtId="166" formatCode="#,##0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6446"/>
      <name val="Arial"/>
      <family val="0"/>
      <charset val="1"/>
    </font>
    <font>
      <i val="true"/>
      <sz val="10"/>
      <color rgb="FF6B67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86446"/>
      <name val="Arial"/>
      <family val="0"/>
      <charset val="1"/>
    </font>
    <font>
      <b val="true"/>
      <sz val="9"/>
      <color rgb="FF2C2A29"/>
      <name val="Arial"/>
      <family val="0"/>
      <charset val="1"/>
    </font>
    <font>
      <sz val="9"/>
      <color rgb="FF2C2A29"/>
      <name val="Arial"/>
      <family val="0"/>
      <charset val="1"/>
    </font>
    <font>
      <i val="true"/>
      <sz val="9"/>
      <color rgb="FF6B6763"/>
      <name val="Arial"/>
      <family val="0"/>
      <charset val="1"/>
    </font>
    <font>
      <i val="true"/>
      <sz val="8"/>
      <color rgb="FF6B6763"/>
      <name val="Arial"/>
      <family val="0"/>
      <charset val="1"/>
    </font>
    <font>
      <b val="true"/>
      <sz val="14"/>
      <color rgb="FFC8644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2C2A2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2C2A29"/>
      <name val="Arial"/>
      <family val="0"/>
      <charset val="1"/>
    </font>
    <font>
      <i val="true"/>
      <sz val="10"/>
      <color rgb="FF2C2A2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86446"/>
        <bgColor rgb="FFFF8080"/>
      </patternFill>
    </fill>
    <fill>
      <patternFill patternType="solid">
        <fgColor rgb="FFFCECE5"/>
        <bgColor rgb="FFF6E4D8"/>
      </patternFill>
    </fill>
    <fill>
      <patternFill patternType="solid">
        <fgColor rgb="FFF9F6F0"/>
        <bgColor rgb="FFFCECE5"/>
      </patternFill>
    </fill>
    <fill>
      <patternFill patternType="solid">
        <fgColor rgb="FFFFFFFF"/>
        <bgColor rgb="FFF9F6F0"/>
      </patternFill>
    </fill>
    <fill>
      <patternFill patternType="solid">
        <fgColor rgb="FFF6E4D8"/>
        <bgColor rgb="FFFCEC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9"/>
      </left>
      <right style="thin">
        <color rgb="FFD9D2C9"/>
      </right>
      <top style="thin">
        <color rgb="FFD9D2C9"/>
      </top>
      <bottom style="thin">
        <color rgb="FFD9D2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9"/>
      <rgbColor rgb="FF808080"/>
      <rgbColor rgb="FF9999FF"/>
      <rgbColor rgb="FF993366"/>
      <rgbColor rgb="FFF9F6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CE5"/>
      <rgbColor rgb="FF99CCFF"/>
      <rgbColor rgb="FFFF99CC"/>
      <rgbColor rgb="FFCC99FF"/>
      <rgbColor rgb="FFF6E4D8"/>
      <rgbColor rgb="FF3366FF"/>
      <rgbColor rgb="FF33CCCC"/>
      <rgbColor rgb="FF99CC00"/>
      <rgbColor rgb="FFFFCC00"/>
      <rgbColor rgb="FFFF9900"/>
      <rgbColor rgb="FFC86446"/>
      <rgbColor rgb="FF6B67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40"/>
    <col collapsed="false" customWidth="true" hidden="false" outlineLevel="0" max="7" min="7" style="0" width="38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2.8" hidden="false" customHeight="false" outlineLevel="0" collapsed="false">
      <c r="A5" s="4" t="s">
        <v>12</v>
      </c>
      <c r="B5" s="5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/>
    </row>
    <row r="6" customFormat="false" ht="32.8" hidden="false" customHeight="false" outlineLevel="0" collapsed="false">
      <c r="A6" s="4" t="s">
        <v>12</v>
      </c>
      <c r="B6" s="5" t="s">
        <v>21</v>
      </c>
      <c r="C6" s="6" t="s">
        <v>14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6" t="s">
        <v>20</v>
      </c>
      <c r="J6" s="6"/>
    </row>
    <row r="7" customFormat="false" ht="32.8" hidden="false" customHeight="false" outlineLevel="0" collapsed="false">
      <c r="A7" s="4" t="s">
        <v>12</v>
      </c>
      <c r="B7" s="5" t="s">
        <v>27</v>
      </c>
      <c r="C7" s="6" t="s">
        <v>28</v>
      </c>
      <c r="D7" s="6" t="s">
        <v>22</v>
      </c>
      <c r="E7" s="6" t="s">
        <v>29</v>
      </c>
      <c r="F7" s="6" t="s">
        <v>30</v>
      </c>
      <c r="G7" s="6" t="s">
        <v>31</v>
      </c>
      <c r="H7" s="6" t="s">
        <v>32</v>
      </c>
      <c r="I7" s="6" t="s">
        <v>20</v>
      </c>
      <c r="J7" s="6"/>
    </row>
    <row r="8" customFormat="false" ht="32.8" hidden="false" customHeight="false" outlineLevel="0" collapsed="false">
      <c r="A8" s="4" t="s">
        <v>12</v>
      </c>
      <c r="B8" s="5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6" t="s">
        <v>40</v>
      </c>
      <c r="J8" s="6"/>
    </row>
    <row r="9" customFormat="false" ht="32.8" hidden="false" customHeight="false" outlineLevel="0" collapsed="false">
      <c r="A9" s="4" t="s">
        <v>12</v>
      </c>
      <c r="B9" s="5" t="s">
        <v>41</v>
      </c>
      <c r="C9" s="6" t="s">
        <v>14</v>
      </c>
      <c r="D9" s="6" t="s">
        <v>15</v>
      </c>
      <c r="E9" s="6" t="s">
        <v>42</v>
      </c>
      <c r="F9" s="6" t="s">
        <v>43</v>
      </c>
      <c r="G9" s="6" t="s">
        <v>44</v>
      </c>
      <c r="H9" s="6" t="s">
        <v>45</v>
      </c>
      <c r="I9" s="6" t="s">
        <v>40</v>
      </c>
      <c r="J9" s="6"/>
    </row>
    <row r="10" customFormat="false" ht="32.8" hidden="false" customHeight="false" outlineLevel="0" collapsed="false">
      <c r="A10" s="7" t="s">
        <v>46</v>
      </c>
      <c r="B10" s="8" t="s">
        <v>47</v>
      </c>
      <c r="C10" s="9" t="s">
        <v>48</v>
      </c>
      <c r="D10" s="9" t="s">
        <v>22</v>
      </c>
      <c r="E10" s="9" t="s">
        <v>49</v>
      </c>
      <c r="F10" s="9" t="s">
        <v>50</v>
      </c>
      <c r="G10" s="9" t="s">
        <v>51</v>
      </c>
      <c r="H10" s="9" t="s">
        <v>52</v>
      </c>
      <c r="I10" s="9" t="s">
        <v>20</v>
      </c>
      <c r="J10" s="9"/>
    </row>
    <row r="11" customFormat="false" ht="32.8" hidden="false" customHeight="false" outlineLevel="0" collapsed="false">
      <c r="A11" s="7" t="s">
        <v>46</v>
      </c>
      <c r="B11" s="8" t="s">
        <v>53</v>
      </c>
      <c r="C11" s="9" t="s">
        <v>54</v>
      </c>
      <c r="D11" s="9" t="s">
        <v>22</v>
      </c>
      <c r="E11" s="9" t="s">
        <v>23</v>
      </c>
      <c r="F11" s="9" t="s">
        <v>55</v>
      </c>
      <c r="G11" s="9" t="s">
        <v>56</v>
      </c>
      <c r="H11" s="9" t="s">
        <v>57</v>
      </c>
      <c r="I11" s="9" t="s">
        <v>20</v>
      </c>
      <c r="J11" s="9"/>
    </row>
    <row r="12" customFormat="false" ht="32.8" hidden="false" customHeight="false" outlineLevel="0" collapsed="false">
      <c r="A12" s="7" t="s">
        <v>46</v>
      </c>
      <c r="B12" s="8" t="s">
        <v>58</v>
      </c>
      <c r="C12" s="9" t="s">
        <v>59</v>
      </c>
      <c r="D12" s="9" t="s">
        <v>22</v>
      </c>
      <c r="E12" s="9" t="s">
        <v>60</v>
      </c>
      <c r="F12" s="9" t="s">
        <v>61</v>
      </c>
      <c r="G12" s="9" t="s">
        <v>62</v>
      </c>
      <c r="H12" s="9" t="s">
        <v>63</v>
      </c>
      <c r="I12" s="9" t="s">
        <v>40</v>
      </c>
      <c r="J12" s="9"/>
    </row>
    <row r="13" customFormat="false" ht="22.35" hidden="false" customHeight="false" outlineLevel="0" collapsed="false">
      <c r="A13" s="7" t="s">
        <v>46</v>
      </c>
      <c r="B13" s="8" t="s">
        <v>64</v>
      </c>
      <c r="C13" s="9" t="s">
        <v>59</v>
      </c>
      <c r="D13" s="9" t="s">
        <v>22</v>
      </c>
      <c r="E13" s="9" t="s">
        <v>65</v>
      </c>
      <c r="F13" s="9" t="s">
        <v>66</v>
      </c>
      <c r="G13" s="9" t="s">
        <v>67</v>
      </c>
      <c r="H13" s="9" t="s">
        <v>68</v>
      </c>
      <c r="I13" s="9" t="s">
        <v>40</v>
      </c>
      <c r="J13" s="9"/>
    </row>
    <row r="14" customFormat="false" ht="32.8" hidden="false" customHeight="false" outlineLevel="0" collapsed="false">
      <c r="A14" s="7" t="s">
        <v>46</v>
      </c>
      <c r="B14" s="8" t="s">
        <v>69</v>
      </c>
      <c r="C14" s="9" t="s">
        <v>70</v>
      </c>
      <c r="D14" s="9" t="s">
        <v>22</v>
      </c>
      <c r="E14" s="9" t="s">
        <v>71</v>
      </c>
      <c r="F14" s="9" t="s">
        <v>72</v>
      </c>
      <c r="G14" s="9" t="s">
        <v>73</v>
      </c>
      <c r="H14" s="9" t="s">
        <v>74</v>
      </c>
      <c r="I14" s="9" t="s">
        <v>40</v>
      </c>
      <c r="J14" s="9"/>
    </row>
    <row r="15" customFormat="false" ht="22.35" hidden="false" customHeight="false" outlineLevel="0" collapsed="false">
      <c r="A15" s="7" t="s">
        <v>46</v>
      </c>
      <c r="B15" s="8" t="s">
        <v>75</v>
      </c>
      <c r="C15" s="9" t="s">
        <v>76</v>
      </c>
      <c r="D15" s="9" t="s">
        <v>22</v>
      </c>
      <c r="E15" s="9" t="s">
        <v>77</v>
      </c>
      <c r="F15" s="9" t="s">
        <v>78</v>
      </c>
      <c r="G15" s="9" t="s">
        <v>79</v>
      </c>
      <c r="H15" s="9" t="s">
        <v>80</v>
      </c>
      <c r="I15" s="9" t="s">
        <v>40</v>
      </c>
      <c r="J15" s="9"/>
    </row>
    <row r="16" customFormat="false" ht="22.35" hidden="false" customHeight="false" outlineLevel="0" collapsed="false">
      <c r="A16" s="7" t="s">
        <v>46</v>
      </c>
      <c r="B16" s="8" t="s">
        <v>81</v>
      </c>
      <c r="C16" s="9" t="s">
        <v>82</v>
      </c>
      <c r="D16" s="9" t="s">
        <v>83</v>
      </c>
      <c r="E16" s="9" t="s">
        <v>84</v>
      </c>
      <c r="F16" s="9" t="s">
        <v>85</v>
      </c>
      <c r="G16" s="9" t="s">
        <v>86</v>
      </c>
      <c r="H16" s="9" t="s">
        <v>87</v>
      </c>
      <c r="I16" s="9" t="s">
        <v>40</v>
      </c>
      <c r="J16" s="9"/>
    </row>
    <row r="17" customFormat="false" ht="22.35" hidden="false" customHeight="false" outlineLevel="0" collapsed="false">
      <c r="A17" s="7" t="s">
        <v>46</v>
      </c>
      <c r="B17" s="8" t="s">
        <v>88</v>
      </c>
      <c r="C17" s="9" t="s">
        <v>89</v>
      </c>
      <c r="D17" s="9" t="s">
        <v>83</v>
      </c>
      <c r="E17" s="9" t="s">
        <v>90</v>
      </c>
      <c r="F17" s="9" t="s">
        <v>91</v>
      </c>
      <c r="G17" s="9" t="s">
        <v>92</v>
      </c>
      <c r="H17" s="9" t="s">
        <v>93</v>
      </c>
      <c r="I17" s="9" t="s">
        <v>40</v>
      </c>
      <c r="J17" s="9"/>
    </row>
    <row r="18" customFormat="false" ht="32.8" hidden="false" customHeight="false" outlineLevel="0" collapsed="false">
      <c r="A18" s="10" t="s">
        <v>94</v>
      </c>
      <c r="B18" s="11" t="s">
        <v>95</v>
      </c>
      <c r="C18" s="12" t="s">
        <v>96</v>
      </c>
      <c r="D18" s="12" t="s">
        <v>35</v>
      </c>
      <c r="E18" s="12" t="s">
        <v>97</v>
      </c>
      <c r="F18" s="12" t="s">
        <v>98</v>
      </c>
      <c r="G18" s="12" t="s">
        <v>99</v>
      </c>
      <c r="H18" s="12" t="s">
        <v>100</v>
      </c>
      <c r="I18" s="12" t="s">
        <v>40</v>
      </c>
      <c r="J18" s="12"/>
    </row>
    <row r="19" customFormat="false" ht="22.35" hidden="false" customHeight="false" outlineLevel="0" collapsed="false">
      <c r="A19" s="10" t="s">
        <v>94</v>
      </c>
      <c r="B19" s="11" t="s">
        <v>101</v>
      </c>
      <c r="C19" s="12" t="s">
        <v>102</v>
      </c>
      <c r="D19" s="12" t="s">
        <v>22</v>
      </c>
      <c r="E19" s="12" t="s">
        <v>103</v>
      </c>
      <c r="F19" s="12" t="s">
        <v>104</v>
      </c>
      <c r="G19" s="12" t="s">
        <v>105</v>
      </c>
      <c r="H19" s="12" t="s">
        <v>106</v>
      </c>
      <c r="I19" s="12" t="s">
        <v>40</v>
      </c>
      <c r="J19" s="12"/>
    </row>
    <row r="20" customFormat="false" ht="22.35" hidden="false" customHeight="false" outlineLevel="0" collapsed="false">
      <c r="A20" s="10" t="s">
        <v>94</v>
      </c>
      <c r="B20" s="11" t="s">
        <v>107</v>
      </c>
      <c r="C20" s="12" t="s">
        <v>108</v>
      </c>
      <c r="D20" s="12" t="s">
        <v>22</v>
      </c>
      <c r="E20" s="12" t="s">
        <v>103</v>
      </c>
      <c r="F20" s="12" t="s">
        <v>109</v>
      </c>
      <c r="G20" s="12" t="s">
        <v>110</v>
      </c>
      <c r="H20" s="12" t="s">
        <v>111</v>
      </c>
      <c r="I20" s="12" t="s">
        <v>40</v>
      </c>
      <c r="J20" s="12"/>
    </row>
    <row r="21" customFormat="false" ht="32.8" hidden="false" customHeight="false" outlineLevel="0" collapsed="false">
      <c r="A21" s="10" t="s">
        <v>94</v>
      </c>
      <c r="B21" s="11" t="s">
        <v>112</v>
      </c>
      <c r="C21" s="12" t="s">
        <v>28</v>
      </c>
      <c r="D21" s="12" t="s">
        <v>22</v>
      </c>
      <c r="E21" s="12" t="s">
        <v>113</v>
      </c>
      <c r="F21" s="12" t="s">
        <v>114</v>
      </c>
      <c r="G21" s="12" t="s">
        <v>115</v>
      </c>
      <c r="H21" s="12" t="s">
        <v>116</v>
      </c>
      <c r="I21" s="12" t="s">
        <v>40</v>
      </c>
      <c r="J21" s="12"/>
    </row>
    <row r="22" customFormat="false" ht="22.35" hidden="false" customHeight="false" outlineLevel="0" collapsed="false">
      <c r="A22" s="10" t="s">
        <v>94</v>
      </c>
      <c r="B22" s="11" t="s">
        <v>117</v>
      </c>
      <c r="C22" s="12" t="s">
        <v>118</v>
      </c>
      <c r="D22" s="12" t="s">
        <v>119</v>
      </c>
      <c r="E22" s="12" t="s">
        <v>120</v>
      </c>
      <c r="F22" s="12" t="s">
        <v>121</v>
      </c>
      <c r="G22" s="12" t="s">
        <v>122</v>
      </c>
      <c r="H22" s="12" t="s">
        <v>123</v>
      </c>
      <c r="I22" s="12" t="s">
        <v>40</v>
      </c>
      <c r="J22" s="12"/>
    </row>
    <row r="23" customFormat="false" ht="32.8" hidden="false" customHeight="false" outlineLevel="0" collapsed="false">
      <c r="A23" s="10" t="s">
        <v>94</v>
      </c>
      <c r="B23" s="11" t="s">
        <v>124</v>
      </c>
      <c r="C23" s="12" t="s">
        <v>125</v>
      </c>
      <c r="D23" s="12" t="s">
        <v>22</v>
      </c>
      <c r="E23" s="12" t="s">
        <v>126</v>
      </c>
      <c r="F23" s="12" t="s">
        <v>127</v>
      </c>
      <c r="G23" s="12" t="s">
        <v>128</v>
      </c>
      <c r="H23" s="12" t="s">
        <v>129</v>
      </c>
      <c r="I23" s="12" t="s">
        <v>40</v>
      </c>
      <c r="J23" s="12"/>
    </row>
    <row r="24" customFormat="false" ht="22.35" hidden="false" customHeight="false" outlineLevel="0" collapsed="false">
      <c r="A24" s="10" t="s">
        <v>94</v>
      </c>
      <c r="B24" s="11" t="s">
        <v>130</v>
      </c>
      <c r="C24" s="12" t="s">
        <v>131</v>
      </c>
      <c r="D24" s="12" t="s">
        <v>35</v>
      </c>
      <c r="E24" s="12" t="s">
        <v>132</v>
      </c>
      <c r="F24" s="12" t="s">
        <v>133</v>
      </c>
      <c r="G24" s="12" t="s">
        <v>134</v>
      </c>
      <c r="H24" s="12" t="s">
        <v>135</v>
      </c>
      <c r="I24" s="12" t="s">
        <v>40</v>
      </c>
      <c r="J24" s="12"/>
    </row>
    <row r="25" customFormat="false" ht="32.8" hidden="false" customHeight="false" outlineLevel="0" collapsed="false">
      <c r="A25" s="13" t="s">
        <v>136</v>
      </c>
      <c r="B25" s="14" t="s">
        <v>137</v>
      </c>
      <c r="C25" s="15" t="s">
        <v>138</v>
      </c>
      <c r="D25" s="15" t="s">
        <v>139</v>
      </c>
      <c r="E25" s="15" t="s">
        <v>140</v>
      </c>
      <c r="F25" s="15" t="s">
        <v>141</v>
      </c>
      <c r="G25" s="15" t="s">
        <v>142</v>
      </c>
      <c r="H25" s="15" t="s">
        <v>143</v>
      </c>
      <c r="I25" s="15" t="s">
        <v>40</v>
      </c>
      <c r="J25" s="15"/>
    </row>
    <row r="26" customFormat="false" ht="32.8" hidden="false" customHeight="false" outlineLevel="0" collapsed="false">
      <c r="A26" s="13" t="s">
        <v>136</v>
      </c>
      <c r="B26" s="14" t="s">
        <v>144</v>
      </c>
      <c r="C26" s="15" t="s">
        <v>138</v>
      </c>
      <c r="D26" s="15" t="s">
        <v>139</v>
      </c>
      <c r="E26" s="15" t="s">
        <v>140</v>
      </c>
      <c r="F26" s="15" t="s">
        <v>145</v>
      </c>
      <c r="G26" s="15" t="s">
        <v>146</v>
      </c>
      <c r="H26" s="15" t="s">
        <v>143</v>
      </c>
      <c r="I26" s="15" t="s">
        <v>40</v>
      </c>
      <c r="J26" s="15"/>
    </row>
    <row r="27" customFormat="false" ht="22.35" hidden="false" customHeight="false" outlineLevel="0" collapsed="false">
      <c r="A27" s="13" t="s">
        <v>136</v>
      </c>
      <c r="B27" s="14" t="s">
        <v>147</v>
      </c>
      <c r="C27" s="15" t="s">
        <v>138</v>
      </c>
      <c r="D27" s="15" t="s">
        <v>148</v>
      </c>
      <c r="E27" s="15" t="s">
        <v>140</v>
      </c>
      <c r="F27" s="15" t="s">
        <v>149</v>
      </c>
      <c r="G27" s="15" t="s">
        <v>150</v>
      </c>
      <c r="H27" s="15" t="s">
        <v>143</v>
      </c>
      <c r="I27" s="15" t="s">
        <v>40</v>
      </c>
      <c r="J27" s="15"/>
    </row>
    <row r="28" customFormat="false" ht="22.35" hidden="false" customHeight="false" outlineLevel="0" collapsed="false">
      <c r="A28" s="13" t="s">
        <v>136</v>
      </c>
      <c r="B28" s="14" t="s">
        <v>151</v>
      </c>
      <c r="C28" s="15" t="s">
        <v>138</v>
      </c>
      <c r="D28" s="15" t="s">
        <v>139</v>
      </c>
      <c r="E28" s="15" t="s">
        <v>140</v>
      </c>
      <c r="F28" s="15" t="s">
        <v>152</v>
      </c>
      <c r="G28" s="15" t="s">
        <v>153</v>
      </c>
      <c r="H28" s="15" t="s">
        <v>143</v>
      </c>
      <c r="I28" s="15" t="s">
        <v>40</v>
      </c>
      <c r="J28" s="15"/>
    </row>
    <row r="30" customFormat="false" ht="15" hidden="false" customHeight="false" outlineLevel="0" collapsed="false">
      <c r="A30" s="16" t="s">
        <v>154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15" hidden="false" customHeight="false" outlineLevel="0" collapsed="false">
      <c r="A31" s="17" t="s">
        <v>155</v>
      </c>
      <c r="B31" s="17"/>
      <c r="C31" s="17"/>
      <c r="D31" s="17"/>
      <c r="E31" s="17"/>
      <c r="F31" s="17"/>
      <c r="G31" s="17"/>
      <c r="H31" s="17"/>
      <c r="I31" s="17"/>
      <c r="J31" s="17"/>
    </row>
  </sheetData>
  <mergeCells count="2">
    <mergeCell ref="A30:J30"/>
    <mergeCell ref="A31:J31"/>
  </mergeCells>
  <dataValidations count="1">
    <dataValidation allowBlank="true" errorStyle="stop" operator="between" showDropDown="false" showErrorMessage="false" showInputMessage="false" sqref="I5:I28" type="list">
      <formula1>"To research,To contact,Contacted,Meeting booked,In diligence,Verbal yes,Committed,Passed,Not a fit"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8" t="s">
        <v>156</v>
      </c>
    </row>
    <row r="2" customFormat="false" ht="15" hidden="false" customHeight="false" outlineLevel="0" collapsed="false">
      <c r="A2" s="2" t="s">
        <v>157</v>
      </c>
    </row>
    <row r="3" customFormat="false" ht="26.85" hidden="false" customHeight="false" outlineLevel="0" collapsed="false">
      <c r="A3" s="19" t="s">
        <v>158</v>
      </c>
      <c r="B3" s="20"/>
    </row>
    <row r="4" customFormat="false" ht="15" hidden="false" customHeight="false" outlineLevel="0" collapsed="false">
      <c r="A4" s="21" t="s">
        <v>159</v>
      </c>
      <c r="B4" s="22" t="n">
        <v>500000</v>
      </c>
    </row>
    <row r="5" customFormat="false" ht="15" hidden="false" customHeight="false" outlineLevel="0" collapsed="false">
      <c r="A5" s="21" t="s">
        <v>160</v>
      </c>
      <c r="B5" s="22" t="n">
        <v>150000</v>
      </c>
    </row>
    <row r="6" customFormat="false" ht="15" hidden="false" customHeight="false" outlineLevel="0" collapsed="false">
      <c r="A6" s="21" t="s">
        <v>161</v>
      </c>
      <c r="B6" s="22" t="n">
        <v>100000</v>
      </c>
    </row>
    <row r="7" customFormat="false" ht="15" hidden="false" customHeight="false" outlineLevel="0" collapsed="false">
      <c r="A7" s="21" t="s">
        <v>162</v>
      </c>
      <c r="B7" s="23" t="n">
        <f aca="false">B4-B5-B6</f>
        <v>250000</v>
      </c>
    </row>
    <row r="8" customFormat="false" ht="15" hidden="false" customHeight="false" outlineLevel="0" collapsed="false">
      <c r="A8" s="21" t="s">
        <v>163</v>
      </c>
      <c r="B8" s="22" t="n">
        <v>25000</v>
      </c>
    </row>
    <row r="9" customFormat="false" ht="15" hidden="false" customHeight="false" outlineLevel="0" collapsed="false">
      <c r="A9" s="24" t="s">
        <v>164</v>
      </c>
      <c r="B9" s="25" t="n">
        <f aca="false">CEILING(B7/B8,1)</f>
        <v>10</v>
      </c>
    </row>
    <row r="11" customFormat="false" ht="26.85" hidden="false" customHeight="false" outlineLevel="0" collapsed="false">
      <c r="A11" s="19" t="s">
        <v>165</v>
      </c>
      <c r="B11" s="20"/>
    </row>
    <row r="12" customFormat="false" ht="15" hidden="false" customHeight="false" outlineLevel="0" collapsed="false">
      <c r="A12" s="21" t="s">
        <v>166</v>
      </c>
      <c r="B12" s="26" t="n">
        <v>0.7</v>
      </c>
    </row>
    <row r="13" customFormat="false" ht="15" hidden="false" customHeight="false" outlineLevel="0" collapsed="false">
      <c r="A13" s="21" t="s">
        <v>167</v>
      </c>
      <c r="B13" s="26" t="n">
        <v>0.5</v>
      </c>
    </row>
    <row r="14" customFormat="false" ht="15" hidden="false" customHeight="false" outlineLevel="0" collapsed="false">
      <c r="A14" s="21" t="s">
        <v>168</v>
      </c>
      <c r="B14" s="26" t="n">
        <v>0.5</v>
      </c>
    </row>
    <row r="15" customFormat="false" ht="15" hidden="false" customHeight="false" outlineLevel="0" collapsed="false">
      <c r="A15" s="21" t="s">
        <v>169</v>
      </c>
      <c r="B15" s="26" t="n">
        <v>0.4</v>
      </c>
    </row>
    <row r="16" customFormat="false" ht="15" hidden="false" customHeight="false" outlineLevel="0" collapsed="false">
      <c r="A16" s="27" t="s">
        <v>170</v>
      </c>
      <c r="B16" s="28" t="n">
        <f aca="false">CEILING(B9/B12,1)</f>
        <v>15</v>
      </c>
    </row>
    <row r="17" customFormat="false" ht="15" hidden="false" customHeight="false" outlineLevel="0" collapsed="false">
      <c r="A17" s="27" t="s">
        <v>171</v>
      </c>
      <c r="B17" s="28" t="n">
        <f aca="false">CEILING(B16/B13,1)</f>
        <v>30</v>
      </c>
    </row>
    <row r="18" customFormat="false" ht="15" hidden="false" customHeight="false" outlineLevel="0" collapsed="false">
      <c r="A18" s="27" t="s">
        <v>172</v>
      </c>
      <c r="B18" s="28" t="n">
        <f aca="false">CEILING(B17/B14,1)</f>
        <v>60</v>
      </c>
    </row>
    <row r="19" customFormat="false" ht="15" hidden="false" customHeight="false" outlineLevel="0" collapsed="false">
      <c r="A19" s="24" t="s">
        <v>173</v>
      </c>
      <c r="B19" s="25" t="n">
        <f aca="false">CEILING(B18/B15,1)</f>
        <v>150</v>
      </c>
    </row>
    <row r="20" customFormat="false" ht="15" hidden="false" customHeight="false" outlineLevel="0" collapsed="false">
      <c r="A20" s="21" t="s">
        <v>174</v>
      </c>
      <c r="B20" s="29" t="s">
        <v>175</v>
      </c>
    </row>
    <row r="21" customFormat="false" ht="15" hidden="false" customHeight="false" outlineLevel="0" collapsed="false">
      <c r="A21" s="21" t="s">
        <v>176</v>
      </c>
      <c r="B21" s="29" t="s">
        <v>177</v>
      </c>
    </row>
    <row r="23" customFormat="false" ht="15" hidden="false" customHeight="false" outlineLevel="0" collapsed="false">
      <c r="A23" s="19" t="s">
        <v>178</v>
      </c>
      <c r="B23" s="20"/>
    </row>
    <row r="24" customFormat="false" ht="15" hidden="false" customHeight="true" outlineLevel="0" collapsed="false">
      <c r="A24" s="30" t="s">
        <v>179</v>
      </c>
      <c r="B24" s="30"/>
      <c r="C24" s="30"/>
      <c r="D24" s="30"/>
    </row>
    <row r="25" customFormat="false" ht="15" hidden="false" customHeight="false" outlineLevel="0" collapsed="false">
      <c r="A25" s="30"/>
      <c r="B25" s="30"/>
      <c r="C25" s="30"/>
      <c r="D25" s="30"/>
    </row>
    <row r="26" customFormat="false" ht="15" hidden="false" customHeight="false" outlineLevel="0" collapsed="false">
      <c r="A26" s="30"/>
      <c r="B26" s="30"/>
      <c r="C26" s="30"/>
      <c r="D26" s="30"/>
    </row>
    <row r="27" customFormat="false" ht="15" hidden="false" customHeight="false" outlineLevel="0" collapsed="false">
      <c r="A27" s="30"/>
      <c r="B27" s="30"/>
      <c r="C27" s="30"/>
      <c r="D27" s="30"/>
    </row>
    <row r="28" customFormat="false" ht="15" hidden="false" customHeight="false" outlineLevel="0" collapsed="false">
      <c r="A28" s="30"/>
      <c r="B28" s="30"/>
      <c r="C28" s="30"/>
      <c r="D28" s="30"/>
    </row>
    <row r="29" customFormat="false" ht="15" hidden="false" customHeight="false" outlineLevel="0" collapsed="false">
      <c r="A29" s="30"/>
      <c r="B29" s="30"/>
      <c r="C29" s="30"/>
      <c r="D29" s="30"/>
    </row>
  </sheetData>
  <mergeCells count="1">
    <mergeCell ref="A24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8" t="s">
        <v>180</v>
      </c>
    </row>
    <row r="3" customFormat="false" ht="30" hidden="false" customHeight="true" outlineLevel="0" collapsed="false">
      <c r="A3" s="31" t="s">
        <v>181</v>
      </c>
    </row>
    <row r="4" customFormat="false" ht="30" hidden="false" customHeight="true" outlineLevel="0" collapsed="false">
      <c r="A4" s="31" t="s">
        <v>182</v>
      </c>
    </row>
    <row r="5" customFormat="false" ht="30" hidden="false" customHeight="true" outlineLevel="0" collapsed="false">
      <c r="A5" s="31" t="s">
        <v>183</v>
      </c>
    </row>
    <row r="6" customFormat="false" ht="30" hidden="false" customHeight="true" outlineLevel="0" collapsed="false">
      <c r="A6" s="31" t="s">
        <v>184</v>
      </c>
    </row>
    <row r="7" customFormat="false" ht="30" hidden="false" customHeight="true" outlineLevel="0" collapsed="false">
      <c r="A7" s="31" t="s">
        <v>185</v>
      </c>
    </row>
    <row r="8" customFormat="false" ht="30" hidden="false" customHeight="true" outlineLevel="0" collapsed="false">
      <c r="A8" s="31" t="s">
        <v>186</v>
      </c>
    </row>
    <row r="9" customFormat="false" ht="30" hidden="false" customHeight="true" outlineLevel="0" collapsed="false">
      <c r="A9" s="31" t="s">
        <v>187</v>
      </c>
    </row>
    <row r="10" customFormat="false" ht="30" hidden="false" customHeight="true" outlineLevel="0" collapsed="false">
      <c r="A10" s="31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2026-07-01T12:27:01Z</dcterms:created>
  <dc:creator>openpyxl</dc:creator>
  <dc:description/>
  <dc:language>en-US</dc:language>
  <cp:lastModifiedBy/>
  <dcterms:modified xsi:type="dcterms:W3CDTF">2026-07-01T12:27:01Z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