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ker" sheetId="2" state="visible" r:id="rId2"/>
  </sheets>
  <definedNames>
    <definedName name="_xlnm._FilterDatabase" localSheetId="1" hidden="1">'Tracker'!$A$4:$G$47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2C2A29"/>
      <sz val="10"/>
    </font>
    <font>
      <name val="Arial"/>
      <b val="1"/>
      <color rgb="001E7A2E"/>
      <sz val="10"/>
    </font>
    <font>
      <name val="Arial"/>
      <b val="1"/>
      <color rgb="00B4472A"/>
      <sz val="10"/>
    </font>
    <font>
      <name val="Arial"/>
      <b val="1"/>
      <color rgb="009E1B1B"/>
      <sz val="10"/>
    </font>
    <font>
      <name val="Arial"/>
      <color rgb="008A5A00"/>
      <sz val="10"/>
    </font>
    <font>
      <name val="Arial"/>
      <color rgb="00355070"/>
      <sz val="10"/>
    </font>
    <font>
      <name val="Arial"/>
      <b val="1"/>
      <color rgb="00FFFFFF"/>
      <sz val="11"/>
    </font>
    <font>
      <name val="Arial"/>
      <b val="1"/>
      <color rgb="002C2A29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4F1E4"/>
      </patternFill>
    </fill>
    <fill>
      <patternFill patternType="solid">
        <fgColor rgb="00F6F4F0"/>
      </patternFill>
    </fill>
    <fill>
      <patternFill patternType="solid">
        <fgColor rgb="00FCEDE8"/>
      </patternFill>
    </fill>
    <fill>
      <patternFill patternType="solid">
        <fgColor rgb="00F8D7D7"/>
      </patternFill>
    </fill>
    <fill>
      <patternFill patternType="solid">
        <fgColor rgb="00FCEFD6"/>
      </patternFill>
    </fill>
    <fill>
      <patternFill patternType="solid">
        <fgColor rgb="00E6EEF5"/>
      </patternFill>
    </fill>
    <fill>
      <patternFill patternType="solid">
        <fgColor rgb="00B4472A"/>
      </patternFill>
    </fill>
  </fills>
  <borders count="2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10" fillId="2" borderId="0" applyAlignment="1" pivotButton="0" quotePrefix="0" xfId="0">
      <alignment horizontal="left" indent="1"/>
    </xf>
    <xf numFmtId="0" fontId="4" fillId="0" borderId="1" applyAlignment="1" pivotButton="0" quotePrefix="0" xfId="0">
      <alignment horizontal="left" indent="1"/>
    </xf>
    <xf numFmtId="0" fontId="11" fillId="0" borderId="1" applyAlignment="1" pivotButton="0" quotePrefix="0" xfId="0">
      <alignment horizontal="center"/>
    </xf>
    <xf numFmtId="9" fontId="11" fillId="0" borderId="1" applyAlignment="1" pivotButton="0" quotePrefix="0" xfId="0">
      <alignment horizontal="center"/>
    </xf>
    <xf numFmtId="0" fontId="10" fillId="9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" customWidth="1" min="3" max="3"/>
  </cols>
  <sheetData>
    <row r="1" ht="30" customHeight="1">
      <c r="A1" s="1" t="inlineStr">
        <is>
          <t>Oia — Status Summary</t>
        </is>
      </c>
    </row>
    <row r="2">
      <c r="A2" s="2" t="inlineStr">
        <is>
          <t>Auto-counts from the Tracker tab · reviewed 2026-07-08</t>
        </is>
      </c>
    </row>
    <row r="4">
      <c r="A4" s="3" t="inlineStr">
        <is>
          <t>By status</t>
        </is>
      </c>
    </row>
    <row r="5">
      <c r="A5" s="4" t="inlineStr">
        <is>
          <t>Done</t>
        </is>
      </c>
      <c r="B5" s="5">
        <f>COUNTIF(Tracker!$D$5:$D$47,"Done")</f>
        <v/>
      </c>
    </row>
    <row r="6">
      <c r="A6" s="4" t="inlineStr">
        <is>
          <t>In progress</t>
        </is>
      </c>
      <c r="B6" s="5">
        <f>COUNTIF(Tracker!$D$5:$D$47,"In progress")</f>
        <v/>
      </c>
    </row>
    <row r="7">
      <c r="A7" s="4" t="inlineStr">
        <is>
          <t>Outstanding</t>
        </is>
      </c>
      <c r="B7" s="5">
        <f>COUNTIF(Tracker!$D$5:$D$47,"Outstanding")</f>
        <v/>
      </c>
    </row>
    <row r="8">
      <c r="A8" s="4" t="inlineStr">
        <is>
          <t>Total items</t>
        </is>
      </c>
      <c r="B8" s="5">
        <f>COUNTA(Tracker!$D$5:$D$47)</f>
        <v/>
      </c>
    </row>
    <row r="9">
      <c r="A9" s="4" t="inlineStr">
        <is>
          <t>% complete</t>
        </is>
      </c>
      <c r="B9" s="6">
        <f>COUNTIF(Tracker!$D$5:$D$47,"Done")/COUNTA(Tracker!$D$5:$D$47)</f>
        <v/>
      </c>
    </row>
    <row r="11">
      <c r="A11" s="7" t="inlineStr">
        <is>
          <t>Outstanding by priority</t>
        </is>
      </c>
    </row>
    <row r="12">
      <c r="A12" s="4" t="inlineStr">
        <is>
          <t>High</t>
        </is>
      </c>
      <c r="B12" s="5">
        <f>COUNTIFS(Tracker!$D$5:$D$47,"Outstanding",Tracker!$E$5:$E$47,"High")</f>
        <v/>
      </c>
    </row>
    <row r="13">
      <c r="A13" s="4" t="inlineStr">
        <is>
          <t>Medium</t>
        </is>
      </c>
      <c r="B13" s="5">
        <f>COUNTIFS(Tracker!$D$5:$D$47,"Outstanding",Tracker!$E$5:$E$47,"Medium")</f>
        <v/>
      </c>
    </row>
    <row r="14">
      <c r="A14" s="4" t="inlineStr">
        <is>
          <t>Low</t>
        </is>
      </c>
      <c r="B14" s="5">
        <f>COUNTIFS(Tracker!$D$5:$D$47,"Outstanding",Tracker!$E$5:$E$47,"Low")</f>
        <v/>
      </c>
    </row>
  </sheetData>
  <mergeCells count="4">
    <mergeCell ref="A1:C1"/>
    <mergeCell ref="A11:B11"/>
    <mergeCell ref="A2:C2"/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8" customWidth="1" min="3" max="3"/>
    <col width="13" customWidth="1" min="4" max="4"/>
    <col width="10" customWidth="1" min="5" max="5"/>
    <col width="52" customWidth="1" min="6" max="6"/>
    <col width="12" customWidth="1" min="7" max="7"/>
  </cols>
  <sheetData>
    <row r="1" ht="30" customHeight="1">
      <c r="A1" s="1" t="inlineStr">
        <is>
          <t>Oia — Build Tracker</t>
        </is>
      </c>
    </row>
    <row r="2" ht="16" customHeight="1">
      <c r="A2" s="2" t="inlineStr">
        <is>
          <t>Last reviewed: 2026-07-08   ·   Status verified against live code + production DB</t>
        </is>
      </c>
    </row>
    <row r="3"/>
    <row r="4" ht="22" customHeight="1">
      <c r="A4" s="8" t="inlineStr">
        <is>
          <t>ID</t>
        </is>
      </c>
      <c r="B4" s="8" t="inlineStr">
        <is>
          <t>Area</t>
        </is>
      </c>
      <c r="C4" s="8" t="inlineStr">
        <is>
          <t>Item</t>
        </is>
      </c>
      <c r="D4" s="8" t="inlineStr">
        <is>
          <t>Status</t>
        </is>
      </c>
      <c r="E4" s="8" t="inlineStr">
        <is>
          <t>Priority</t>
        </is>
      </c>
      <c r="F4" s="8" t="inlineStr">
        <is>
          <t>Notes / Verification</t>
        </is>
      </c>
      <c r="G4" s="8" t="inlineStr">
        <is>
          <t>Updated</t>
        </is>
      </c>
    </row>
    <row r="5">
      <c r="A5" s="9" t="inlineStr">
        <is>
          <t>INF-01</t>
        </is>
      </c>
      <c r="B5" s="9" t="inlineStr">
        <is>
          <t>Infra &amp; Identity</t>
        </is>
      </c>
      <c r="C5" s="10" t="inlineStr">
        <is>
          <t>NIA → Oia rename (final); domain heyoia.com secured</t>
        </is>
      </c>
      <c r="D5" s="11" t="inlineStr">
        <is>
          <t>Done</t>
        </is>
      </c>
      <c r="E5" s="12" t="inlineStr"/>
      <c r="F5" s="10" t="inlineStr">
        <is>
          <t>Confirmed by Ida 2026-07-03</t>
        </is>
      </c>
      <c r="G5" s="9" t="inlineStr">
        <is>
          <t>2026-07-08</t>
        </is>
      </c>
    </row>
    <row r="6">
      <c r="A6" s="13" t="inlineStr">
        <is>
          <t>INF-02</t>
        </is>
      </c>
      <c r="B6" s="13" t="inlineStr">
        <is>
          <t>Infra &amp; Identity</t>
        </is>
      </c>
      <c r="C6" s="14" t="inlineStr">
        <is>
          <t>Repo github.com/idatink/oia (idatink account active)</t>
        </is>
      </c>
      <c r="D6" s="11" t="inlineStr">
        <is>
          <t>Done</t>
        </is>
      </c>
      <c r="E6" s="15" t="inlineStr"/>
      <c r="F6" s="14" t="inlineStr">
        <is>
          <t>Old repo kept as reference remote</t>
        </is>
      </c>
      <c r="G6" s="13" t="inlineStr">
        <is>
          <t>2026-07-08</t>
        </is>
      </c>
    </row>
    <row r="7">
      <c r="A7" s="9" t="inlineStr">
        <is>
          <t>INF-03</t>
        </is>
      </c>
      <c r="B7" s="9" t="inlineStr">
        <is>
          <t>Infra &amp; Identity</t>
        </is>
      </c>
      <c r="C7" s="10" t="inlineStr">
        <is>
          <t>Vercel team oiaai: oia-web + oia-dashboard</t>
        </is>
      </c>
      <c r="D7" s="11" t="inlineStr">
        <is>
          <t>Done</t>
        </is>
      </c>
      <c r="E7" s="12" t="inlineStr"/>
      <c r="F7" s="10" t="inlineStr">
        <is>
          <t>Both build clean</t>
        </is>
      </c>
      <c r="G7" s="9" t="inlineStr">
        <is>
          <t>2026-07-08</t>
        </is>
      </c>
    </row>
    <row r="8">
      <c r="A8" s="13" t="inlineStr">
        <is>
          <t>INF-04</t>
        </is>
      </c>
      <c r="B8" s="13" t="inlineStr">
        <is>
          <t>Infra &amp; Identity</t>
        </is>
      </c>
      <c r="C8" s="14" t="inlineStr">
        <is>
          <t>Neon Postgres production DB</t>
        </is>
      </c>
      <c r="D8" s="11" t="inlineStr">
        <is>
          <t>Done</t>
        </is>
      </c>
      <c r="E8" s="15" t="inlineStr"/>
      <c r="F8" s="14" t="inlineStr">
        <is>
          <t>Live; queried this session</t>
        </is>
      </c>
      <c r="G8" s="13" t="inlineStr">
        <is>
          <t>2026-07-08</t>
        </is>
      </c>
    </row>
    <row r="9">
      <c r="A9" s="9" t="inlineStr">
        <is>
          <t>INF-05</t>
        </is>
      </c>
      <c r="B9" s="9" t="inlineStr">
        <is>
          <t>Infra &amp; Identity</t>
        </is>
      </c>
      <c r="C9" s="10" t="inlineStr">
        <is>
          <t>Vercel Blob store (private, London/LHR1, OIDC)</t>
        </is>
      </c>
      <c r="D9" s="11" t="inlineStr">
        <is>
          <t>Done</t>
        </is>
      </c>
      <c r="E9" s="12" t="inlineStr"/>
      <c r="F9" s="10" t="inlineStr">
        <is>
          <t>oia-dashboard-blob</t>
        </is>
      </c>
      <c r="G9" s="9" t="inlineStr">
        <is>
          <t>2026-07-08</t>
        </is>
      </c>
    </row>
    <row r="10">
      <c r="A10" s="13" t="inlineStr">
        <is>
          <t>INF-06</t>
        </is>
      </c>
      <c r="B10" s="13" t="inlineStr">
        <is>
          <t>Infra &amp; Identity</t>
        </is>
      </c>
      <c r="C10" s="14" t="inlineStr">
        <is>
          <t>Fly app oia-whatsapp (OpenClaw runtime)</t>
        </is>
      </c>
      <c r="D10" s="11" t="inlineStr">
        <is>
          <t>Done</t>
        </is>
      </c>
      <c r="E10" s="15" t="inlineStr"/>
      <c r="F10" s="14" t="inlineStr">
        <is>
          <t>WA +447752991023 healthy; inbound→reply proven live</t>
        </is>
      </c>
      <c r="G10" s="13" t="inlineStr">
        <is>
          <t>2026-07-08</t>
        </is>
      </c>
    </row>
    <row r="11">
      <c r="A11" s="9" t="inlineStr">
        <is>
          <t>AGT-01</t>
        </is>
      </c>
      <c r="B11" s="9" t="inlineStr">
        <is>
          <t>Agent</t>
        </is>
      </c>
      <c r="C11" s="10" t="inlineStr">
        <is>
          <t>Two-mode persona live: patient intake + clinic negotiation</t>
        </is>
      </c>
      <c r="D11" s="11" t="inlineStr">
        <is>
          <t>Done</t>
        </is>
      </c>
      <c r="E11" s="12" t="inlineStr"/>
      <c r="F11" s="10" t="inlineStr">
        <is>
          <t>SOUL/IDENTITY/AGENTS/MEMORY, Oia-branded</t>
        </is>
      </c>
      <c r="G11" s="9" t="inlineStr">
        <is>
          <t>2026-07-08</t>
        </is>
      </c>
    </row>
    <row r="12">
      <c r="A12" s="13" t="inlineStr">
        <is>
          <t>AGT-02</t>
        </is>
      </c>
      <c r="B12" s="13" t="inlineStr">
        <is>
          <t>Agent</t>
        </is>
      </c>
      <c r="C12" s="14" t="inlineStr">
        <is>
          <t>5 skills wired</t>
        </is>
      </c>
      <c r="D12" s="11" t="inlineStr">
        <is>
          <t>Done</t>
        </is>
      </c>
      <c r="E12" s="15" t="inlineStr"/>
      <c r="F12" s="14" t="inlineStr">
        <is>
          <t>create-inquiry, get-recommendations, smart-match, submit-quote, upload-photo</t>
        </is>
      </c>
      <c r="G12" s="13" t="inlineStr">
        <is>
          <t>2026-07-08</t>
        </is>
      </c>
    </row>
    <row r="13">
      <c r="A13" s="9" t="inlineStr">
        <is>
          <t>AGT-03</t>
        </is>
      </c>
      <c r="B13" s="9" t="inlineStr">
        <is>
          <t>Agent</t>
        </is>
      </c>
      <c r="C13" s="10" t="inlineStr">
        <is>
          <t>Hard price-grounding on web concierge</t>
        </is>
      </c>
      <c r="D13" s="11" t="inlineStr">
        <is>
          <t>Done</t>
        </is>
      </c>
      <c r="E13" s="12" t="inlineStr"/>
      <c r="F13" s="10" t="inlineStr">
        <is>
          <t>Refuses to invent prices (web only)</t>
        </is>
      </c>
      <c r="G13" s="9" t="inlineStr">
        <is>
          <t>2026-07-08</t>
        </is>
      </c>
    </row>
    <row r="14">
      <c r="A14" s="13" t="inlineStr">
        <is>
          <t>AGT-04</t>
        </is>
      </c>
      <c r="B14" s="13" t="inlineStr">
        <is>
          <t>Agent</t>
        </is>
      </c>
      <c r="C14" s="14" t="inlineStr">
        <is>
          <t>Anonymous-first intake (Decision A3) + link-session merge</t>
        </is>
      </c>
      <c r="D14" s="11" t="inlineStr">
        <is>
          <t>Done</t>
        </is>
      </c>
      <c r="E14" s="15" t="inlineStr"/>
      <c r="F14" s="14" t="inlineStr">
        <is>
          <t>Web + WhatsApp history unify under one patient</t>
        </is>
      </c>
      <c r="G14" s="13" t="inlineStr">
        <is>
          <t>2026-07-08</t>
        </is>
      </c>
    </row>
    <row r="15">
      <c r="A15" s="9" t="inlineStr">
        <is>
          <t>AGT-05</t>
        </is>
      </c>
      <c r="B15" s="9" t="inlineStr">
        <is>
          <t>Agent</t>
        </is>
      </c>
      <c r="C15" s="10" t="inlineStr">
        <is>
          <t>Web concierge wired to Oia soul end-to-end</t>
        </is>
      </c>
      <c r="D15" s="11" t="inlineStr">
        <is>
          <t>Done</t>
        </is>
      </c>
      <c r="E15" s="12" t="inlineStr"/>
      <c r="F15" s="10" t="inlineStr">
        <is>
          <t>Confirmed working</t>
        </is>
      </c>
      <c r="G15" s="9" t="inlineStr">
        <is>
          <t>2026-07-08</t>
        </is>
      </c>
    </row>
    <row r="16">
      <c r="A16" s="13" t="inlineStr">
        <is>
          <t>SM-01</t>
        </is>
      </c>
      <c r="B16" s="13" t="inlineStr">
        <is>
          <t>SmartMatch</t>
        </is>
      </c>
      <c r="C16" s="14" t="inlineStr">
        <is>
          <t>Engine: interpret → filter → score → persist</t>
        </is>
      </c>
      <c r="D16" s="11" t="inlineStr">
        <is>
          <t>Done</t>
        </is>
      </c>
      <c r="E16" s="15" t="inlineStr"/>
      <c r="F16" s="14" t="inlineStr">
        <is>
          <t>Deterministic + explainable reasons</t>
        </is>
      </c>
      <c r="G16" s="13" t="inlineStr">
        <is>
          <t>2026-07-08</t>
        </is>
      </c>
    </row>
    <row r="17">
      <c r="A17" s="9" t="inlineStr">
        <is>
          <t>SM-02</t>
        </is>
      </c>
      <c r="B17" s="9" t="inlineStr">
        <is>
          <t>SmartMatch</t>
        </is>
      </c>
      <c r="C17" s="10" t="inlineStr">
        <is>
          <t>Provider/treatment data seeded in production</t>
        </is>
      </c>
      <c r="D17" s="11" t="inlineStr">
        <is>
          <t>Done</t>
        </is>
      </c>
      <c r="E17" s="12" t="inlineStr"/>
      <c r="F17" s="10" t="inlineStr">
        <is>
          <t>45 surgeons (TR), 426 treatments (163 matchable), 27 categories</t>
        </is>
      </c>
      <c r="G17" s="9" t="inlineStr">
        <is>
          <t>2026-07-08</t>
        </is>
      </c>
    </row>
    <row r="18">
      <c r="A18" s="13" t="inlineStr">
        <is>
          <t>SM-03</t>
        </is>
      </c>
      <c r="B18" s="13" t="inlineStr">
        <is>
          <t>SmartMatch</t>
        </is>
      </c>
      <c r="C18" s="14" t="inlineStr">
        <is>
          <t>Wired into live intake; shortlists persisted</t>
        </is>
      </c>
      <c r="D18" s="11" t="inlineStr">
        <is>
          <t>Done</t>
        </is>
      </c>
      <c r="E18" s="15" t="inlineStr"/>
      <c r="F18" s="14" t="inlineStr">
        <is>
          <t>3 real ProviderMatch records; latest 2026-07-08</t>
        </is>
      </c>
      <c r="G18" s="13" t="inlineStr">
        <is>
          <t>2026-07-08</t>
        </is>
      </c>
    </row>
    <row r="19">
      <c r="A19" s="9" t="inlineStr">
        <is>
          <t>PHO-01</t>
        </is>
      </c>
      <c r="B19" s="9" t="inlineStr">
        <is>
          <t>Patient Photos</t>
        </is>
      </c>
      <c r="C19" s="10" t="inlineStr">
        <is>
          <t>Private upload pipeline (dashboard → signed display)</t>
        </is>
      </c>
      <c r="D19" s="11" t="inlineStr">
        <is>
          <t>Done</t>
        </is>
      </c>
      <c r="E19" s="12" t="inlineStr"/>
      <c r="F19" s="10" t="inlineStr">
        <is>
          <t>Vercel Blob</t>
        </is>
      </c>
      <c r="G19" s="9" t="inlineStr">
        <is>
          <t>2026-07-08</t>
        </is>
      </c>
    </row>
    <row r="20">
      <c r="A20" s="13" t="inlineStr">
        <is>
          <t>CKP-01</t>
        </is>
      </c>
      <c r="B20" s="13" t="inlineStr">
        <is>
          <t>Cockpit</t>
        </is>
      </c>
      <c r="C20" s="14" t="inlineStr">
        <is>
          <t>Lead alerts with AI score + rationale (journey P8)</t>
        </is>
      </c>
      <c r="D20" s="11" t="inlineStr">
        <is>
          <t>Done</t>
        </is>
      </c>
      <c r="E20" s="15" t="inlineStr"/>
      <c r="F20" s="14" t="inlineStr">
        <is>
          <t>LIVE</t>
        </is>
      </c>
      <c r="G20" s="13" t="inlineStr">
        <is>
          <t>2026-07-08</t>
        </is>
      </c>
    </row>
    <row r="21">
      <c r="A21" s="9" t="inlineStr">
        <is>
          <t>CKP-02</t>
        </is>
      </c>
      <c r="B21" s="9" t="inlineStr">
        <is>
          <t>Cockpit</t>
        </is>
      </c>
      <c r="C21" s="10" t="inlineStr">
        <is>
          <t>Consultation booking (P9)</t>
        </is>
      </c>
      <c r="D21" s="11" t="inlineStr">
        <is>
          <t>Done</t>
        </is>
      </c>
      <c r="E21" s="12" t="inlineStr"/>
      <c r="F21" s="10" t="inlineStr">
        <is>
          <t>LIVE</t>
        </is>
      </c>
      <c r="G21" s="9" t="inlineStr">
        <is>
          <t>2026-07-08</t>
        </is>
      </c>
    </row>
    <row r="22">
      <c r="A22" s="13" t="inlineStr">
        <is>
          <t>CKP-03</t>
        </is>
      </c>
      <c r="B22" s="13" t="inlineStr">
        <is>
          <t>Cockpit</t>
        </is>
      </c>
      <c r="C22" s="14" t="inlineStr">
        <is>
          <t>Deposit → CONFIRMED (P11)</t>
        </is>
      </c>
      <c r="D22" s="11" t="inlineStr">
        <is>
          <t>Done</t>
        </is>
      </c>
      <c r="E22" s="15" t="inlineStr"/>
      <c r="F22" s="14" t="inlineStr">
        <is>
          <t>LIVE</t>
        </is>
      </c>
      <c r="G22" s="13" t="inlineStr">
        <is>
          <t>2026-07-08</t>
        </is>
      </c>
    </row>
    <row r="23">
      <c r="A23" s="9" t="inlineStr">
        <is>
          <t>CKP-04</t>
        </is>
      </c>
      <c r="B23" s="9" t="inlineStr">
        <is>
          <t>Cockpit</t>
        </is>
      </c>
      <c r="C23" s="10" t="inlineStr">
        <is>
          <t>Pre-op scheduling (P12)</t>
        </is>
      </c>
      <c r="D23" s="11" t="inlineStr">
        <is>
          <t>Done</t>
        </is>
      </c>
      <c r="E23" s="12" t="inlineStr"/>
      <c r="F23" s="10" t="inlineStr">
        <is>
          <t>LIVE</t>
        </is>
      </c>
      <c r="G23" s="9" t="inlineStr">
        <is>
          <t>2026-07-08</t>
        </is>
      </c>
    </row>
    <row r="24">
      <c r="A24" s="13" t="inlineStr">
        <is>
          <t>CKP-05</t>
        </is>
      </c>
      <c r="B24" s="13" t="inlineStr">
        <is>
          <t>Cockpit</t>
        </is>
      </c>
      <c r="C24" s="14" t="inlineStr">
        <is>
          <t>Today's Arrivals (P13)</t>
        </is>
      </c>
      <c r="D24" s="11" t="inlineStr">
        <is>
          <t>Done</t>
        </is>
      </c>
      <c r="E24" s="15" t="inlineStr"/>
      <c r="F24" s="14" t="inlineStr">
        <is>
          <t>LIVE</t>
        </is>
      </c>
      <c r="G24" s="13" t="inlineStr">
        <is>
          <t>2026-07-08</t>
        </is>
      </c>
    </row>
    <row r="25">
      <c r="A25" s="9" t="inlineStr">
        <is>
          <t>CKP-06</t>
        </is>
      </c>
      <c r="B25" s="9" t="inlineStr">
        <is>
          <t>Cockpit</t>
        </is>
      </c>
      <c r="C25" s="10" t="inlineStr">
        <is>
          <t>Surgery-day booking management (P14)</t>
        </is>
      </c>
      <c r="D25" s="11" t="inlineStr">
        <is>
          <t>Done</t>
        </is>
      </c>
      <c r="E25" s="12" t="inlineStr"/>
      <c r="F25" s="10" t="inlineStr">
        <is>
          <t>LIVE</t>
        </is>
      </c>
      <c r="G25" s="9" t="inlineStr">
        <is>
          <t>2026-07-08</t>
        </is>
      </c>
    </row>
    <row r="26">
      <c r="A26" s="13" t="inlineStr">
        <is>
          <t>CKP-07</t>
        </is>
      </c>
      <c r="B26" s="13" t="inlineStr">
        <is>
          <t>Cockpit</t>
        </is>
      </c>
      <c r="C26" s="14" t="inlineStr">
        <is>
          <t>Matched Surgeons panel</t>
        </is>
      </c>
      <c r="D26" s="11" t="inlineStr">
        <is>
          <t>Done</t>
        </is>
      </c>
      <c r="E26" s="15" t="inlineStr"/>
      <c r="F26" s="14" t="inlineStr">
        <is>
          <t>LIVE</t>
        </is>
      </c>
      <c r="G26" s="13" t="inlineStr">
        <is>
          <t>2026-07-08</t>
        </is>
      </c>
    </row>
    <row r="27">
      <c r="A27" s="9" t="inlineStr">
        <is>
          <t>CKP-08</t>
        </is>
      </c>
      <c r="B27" s="9" t="inlineStr">
        <is>
          <t>Cockpit</t>
        </is>
      </c>
      <c r="C27" s="10" t="inlineStr">
        <is>
          <t>Real-time WhatsApp conversation sync</t>
        </is>
      </c>
      <c r="D27" s="11" t="inlineStr">
        <is>
          <t>Done</t>
        </is>
      </c>
      <c r="E27" s="12" t="inlineStr"/>
      <c r="F27" s="10" t="inlineStr">
        <is>
          <t>Drop-off visibility</t>
        </is>
      </c>
      <c r="G27" s="9" t="inlineStr">
        <is>
          <t>2026-07-08</t>
        </is>
      </c>
    </row>
    <row r="28">
      <c r="A28" s="13" t="inlineStr">
        <is>
          <t>CKP-09</t>
        </is>
      </c>
      <c r="B28" s="13" t="inlineStr">
        <is>
          <t>Cockpit</t>
        </is>
      </c>
      <c r="C28" s="14" t="inlineStr">
        <is>
          <t>Coordinator outbound to a clinic</t>
        </is>
      </c>
      <c r="D28" s="11" t="inlineStr">
        <is>
          <t>Done</t>
        </is>
      </c>
      <c r="E28" s="15" t="inlineStr"/>
      <c r="F28" s="14" t="inlineStr">
        <is>
          <t>Proven ONCE, manual trigger (fly ssh)</t>
        </is>
      </c>
      <c r="G28" s="13" t="inlineStr">
        <is>
          <t>2026-07-08</t>
        </is>
      </c>
    </row>
    <row r="29">
      <c r="A29" s="9" t="inlineStr">
        <is>
          <t>WEB-01</t>
        </is>
      </c>
      <c r="B29" s="9" t="inlineStr">
        <is>
          <t>Web Redesign</t>
        </is>
      </c>
      <c r="C29" s="10" t="inlineStr">
        <is>
          <t>Sanctuary homepage + Oia icon library + 13 app screens</t>
        </is>
      </c>
      <c r="D29" s="11" t="inlineStr">
        <is>
          <t>Done</t>
        </is>
      </c>
      <c r="E29" s="12" t="inlineStr"/>
      <c r="F29" s="10" t="inlineStr">
        <is>
          <t>LOCAL-ONLY branch; not shipped</t>
        </is>
      </c>
      <c r="G29" s="9" t="inlineStr">
        <is>
          <t>2026-07-08</t>
        </is>
      </c>
    </row>
    <row r="30">
      <c r="A30" s="13" t="inlineStr">
        <is>
          <t>AGT-06</t>
        </is>
      </c>
      <c r="B30" s="13" t="inlineStr">
        <is>
          <t>Agent</t>
        </is>
      </c>
      <c r="C30" s="14" t="inlineStr">
        <is>
          <t>Coordinator REPLY handling / C1–C4 negotiation gate</t>
        </is>
      </c>
      <c r="D30" s="16" t="inlineStr">
        <is>
          <t>Outstanding</t>
        </is>
      </c>
      <c r="E30" s="17" t="inlineStr">
        <is>
          <t>High</t>
        </is>
      </c>
      <c r="F30" s="14" t="inlineStr">
        <is>
          <t>Clinic replies not handled; no auto back-and-forth or quote logging</t>
        </is>
      </c>
      <c r="G30" s="13" t="inlineStr">
        <is>
          <t>2026-07-08</t>
        </is>
      </c>
    </row>
    <row r="31">
      <c r="A31" s="9" t="inlineStr">
        <is>
          <t>AGT-07</t>
        </is>
      </c>
      <c r="B31" s="9" t="inlineStr">
        <is>
          <t>Agent</t>
        </is>
      </c>
      <c r="C31" s="10" t="inlineStr">
        <is>
          <t>Automate outbound trigger (patient selects → Oia contacts clinic)</t>
        </is>
      </c>
      <c r="D31" s="16" t="inlineStr">
        <is>
          <t>Outstanding</t>
        </is>
      </c>
      <c r="E31" s="17" t="inlineStr">
        <is>
          <t>High</t>
        </is>
      </c>
      <c r="F31" s="10" t="inlineStr">
        <is>
          <t>Currently manual fly ssh</t>
        </is>
      </c>
      <c r="G31" s="9" t="inlineStr">
        <is>
          <t>2026-07-08</t>
        </is>
      </c>
    </row>
    <row r="32">
      <c r="A32" s="13" t="inlineStr">
        <is>
          <t>AGT-08</t>
        </is>
      </c>
      <c r="B32" s="13" t="inlineStr">
        <is>
          <t>Agent</t>
        </is>
      </c>
      <c r="C32" s="14" t="inlineStr">
        <is>
          <t>Price table + grounding on WhatsApp</t>
        </is>
      </c>
      <c r="D32" s="16" t="inlineStr">
        <is>
          <t>Outstanding</t>
        </is>
      </c>
      <c r="E32" s="18" t="inlineStr">
        <is>
          <t>Medium</t>
        </is>
      </c>
      <c r="F32" s="14" t="inlineStr">
        <is>
          <t>Web done; WhatsApp not</t>
        </is>
      </c>
      <c r="G32" s="13" t="inlineStr">
        <is>
          <t>2026-07-08</t>
        </is>
      </c>
    </row>
    <row r="33">
      <c r="A33" s="9" t="inlineStr">
        <is>
          <t>AGT-09</t>
        </is>
      </c>
      <c r="B33" s="9" t="inlineStr">
        <is>
          <t>Agent</t>
        </is>
      </c>
      <c r="C33" s="10" t="inlineStr">
        <is>
          <t>Single-source soul in DB</t>
        </is>
      </c>
      <c r="D33" s="16" t="inlineStr">
        <is>
          <t>Outstanding</t>
        </is>
      </c>
      <c r="E33" s="18" t="inlineStr">
        <is>
          <t>Medium</t>
        </is>
      </c>
      <c r="F33" s="10" t="inlineStr">
        <is>
          <t>So Training Lab edits persist on Vercel; currently disk-only</t>
        </is>
      </c>
      <c r="G33" s="9" t="inlineStr">
        <is>
          <t>2026-07-08</t>
        </is>
      </c>
    </row>
    <row r="34">
      <c r="A34" s="13" t="inlineStr">
        <is>
          <t>SM-04</t>
        </is>
      </c>
      <c r="B34" s="13" t="inlineStr">
        <is>
          <t>SmartMatch</t>
        </is>
      </c>
      <c r="C34" s="14" t="inlineStr">
        <is>
          <t>Add GB / non-Turkey providers</t>
        </is>
      </c>
      <c r="D34" s="16" t="inlineStr">
        <is>
          <t>Outstanding</t>
        </is>
      </c>
      <c r="E34" s="18" t="inlineStr">
        <is>
          <t>Medium</t>
        </is>
      </c>
      <c r="F34" s="14" t="inlineStr">
        <is>
          <t>45 surgeons all TR; UK patients always matched abroad</t>
        </is>
      </c>
      <c r="G34" s="13" t="inlineStr">
        <is>
          <t>2026-07-08</t>
        </is>
      </c>
    </row>
    <row r="35">
      <c r="A35" s="9" t="inlineStr">
        <is>
          <t>SM-05</t>
        </is>
      </c>
      <c r="B35" s="9" t="inlineStr">
        <is>
          <t>SmartMatch</t>
        </is>
      </c>
      <c r="C35" s="10" t="inlineStr">
        <is>
          <t>Per-technique matching (populate ProviderTreatment)</t>
        </is>
      </c>
      <c r="D35" s="16" t="inlineStr">
        <is>
          <t>Outstanding</t>
        </is>
      </c>
      <c r="E35" s="18" t="inlineStr">
        <is>
          <t>Medium</t>
        </is>
      </c>
      <c r="F35" s="10" t="inlineStr">
        <is>
          <t>Currently cluster-level only</t>
        </is>
      </c>
      <c r="G35" s="9" t="inlineStr">
        <is>
          <t>2026-07-08</t>
        </is>
      </c>
    </row>
    <row r="36">
      <c r="A36" s="13" t="inlineStr">
        <is>
          <t>SM-06</t>
        </is>
      </c>
      <c r="B36" s="13" t="inlineStr">
        <is>
          <t>SmartMatch</t>
        </is>
      </c>
      <c r="C36" s="14" t="inlineStr">
        <is>
          <t>Add price / portfolio / availability to ranking</t>
        </is>
      </c>
      <c r="D36" s="16" t="inlineStr">
        <is>
          <t>Outstanding</t>
        </is>
      </c>
      <c r="E36" s="19" t="inlineStr">
        <is>
          <t>Low</t>
        </is>
      </c>
      <c r="F36" s="14" t="inlineStr">
        <is>
          <t>Ranks on accreditation + specialism + reviews only</t>
        </is>
      </c>
      <c r="G36" s="13" t="inlineStr">
        <is>
          <t>2026-07-08</t>
        </is>
      </c>
    </row>
    <row r="37">
      <c r="A37" s="9" t="inlineStr">
        <is>
          <t>JNY-01</t>
        </is>
      </c>
      <c r="B37" s="9" t="inlineStr">
        <is>
          <t>Journey Gaps</t>
        </is>
      </c>
      <c r="C37" s="10" t="inlineStr">
        <is>
          <t>Treatment proposal tool in dashboard (P10)</t>
        </is>
      </c>
      <c r="D37" s="16" t="inlineStr">
        <is>
          <t>Outstanding</t>
        </is>
      </c>
      <c r="E37" s="18" t="inlineStr">
        <is>
          <t>Medium</t>
        </is>
      </c>
      <c r="F37" s="10" t="inlineStr">
        <is>
          <t>Currently off-platform</t>
        </is>
      </c>
      <c r="G37" s="9" t="inlineStr">
        <is>
          <t>2026-07-08</t>
        </is>
      </c>
    </row>
    <row r="38">
      <c r="A38" s="13" t="inlineStr">
        <is>
          <t>JNY-02</t>
        </is>
      </c>
      <c r="B38" s="13" t="inlineStr">
        <is>
          <t>Journey Gaps</t>
        </is>
      </c>
      <c r="C38" s="14" t="inlineStr">
        <is>
          <t>Post-op scheduled reminders (P15)</t>
        </is>
      </c>
      <c r="D38" s="16" t="inlineStr">
        <is>
          <t>Outstanding</t>
        </is>
      </c>
      <c r="E38" s="18" t="inlineStr">
        <is>
          <t>Medium</t>
        </is>
      </c>
      <c r="F38" s="14" t="inlineStr">
        <is>
          <t>No automation</t>
        </is>
      </c>
      <c r="G38" s="13" t="inlineStr">
        <is>
          <t>2026-07-08</t>
        </is>
      </c>
    </row>
    <row r="39">
      <c r="A39" s="9" t="inlineStr">
        <is>
          <t>JNY-03</t>
        </is>
      </c>
      <c r="B39" s="9" t="inlineStr">
        <is>
          <t>Journey Gaps</t>
        </is>
      </c>
      <c r="C39" s="10" t="inlineStr">
        <is>
          <t>Case closure flow (P16)</t>
        </is>
      </c>
      <c r="D39" s="16" t="inlineStr">
        <is>
          <t>Outstanding</t>
        </is>
      </c>
      <c r="E39" s="18" t="inlineStr">
        <is>
          <t>Medium</t>
        </is>
      </c>
      <c r="F39" s="10" t="inlineStr">
        <is>
          <t>Outcome capture + review request</t>
        </is>
      </c>
      <c r="G39" s="9" t="inlineStr">
        <is>
          <t>2026-07-08</t>
        </is>
      </c>
    </row>
    <row r="40">
      <c r="A40" s="13" t="inlineStr">
        <is>
          <t>JNY-04</t>
        </is>
      </c>
      <c r="B40" s="13" t="inlineStr">
        <is>
          <t>Journey Gaps</t>
        </is>
      </c>
      <c r="C40" s="14" t="inlineStr">
        <is>
          <t>Dual-sided live logging (P1)</t>
        </is>
      </c>
      <c r="D40" s="16" t="inlineStr">
        <is>
          <t>Outstanding</t>
        </is>
      </c>
      <c r="E40" s="17" t="inlineStr">
        <is>
          <t>High</t>
        </is>
      </c>
      <c r="F40" s="14" t="inlineStr">
        <is>
          <t>Stream patient + coordinator threads to dashboard real-time</t>
        </is>
      </c>
      <c r="G40" s="13" t="inlineStr">
        <is>
          <t>2026-07-08</t>
        </is>
      </c>
    </row>
    <row r="41">
      <c r="A41" s="9" t="inlineStr">
        <is>
          <t>OPS-01</t>
        </is>
      </c>
      <c r="B41" s="9" t="inlineStr">
        <is>
          <t>Housekeeping / Risk</t>
        </is>
      </c>
      <c r="C41" s="10" t="inlineStr">
        <is>
          <t>Point heyoia.com → oia-web</t>
        </is>
      </c>
      <c r="D41" s="16" t="inlineStr">
        <is>
          <t>Outstanding</t>
        </is>
      </c>
      <c r="E41" s="17" t="inlineStr">
        <is>
          <t>High</t>
        </is>
      </c>
      <c r="F41" s="10" t="inlineStr">
        <is>
          <t>DNS</t>
        </is>
      </c>
      <c r="G41" s="9" t="inlineStr">
        <is>
          <t>2026-07-08</t>
        </is>
      </c>
    </row>
    <row r="42">
      <c r="A42" s="13" t="inlineStr">
        <is>
          <t>OPS-02</t>
        </is>
      </c>
      <c r="B42" s="13" t="inlineStr">
        <is>
          <t>Housekeeping / Risk</t>
        </is>
      </c>
      <c r="C42" s="14" t="inlineStr">
        <is>
          <t>Rotate Anthropic API key + WHATSAPP_INTAKE_SECRET</t>
        </is>
      </c>
      <c r="D42" s="16" t="inlineStr">
        <is>
          <t>Outstanding</t>
        </is>
      </c>
      <c r="E42" s="17" t="inlineStr">
        <is>
          <t>High</t>
        </is>
      </c>
      <c r="F42" s="14" t="inlineStr">
        <is>
          <t>Both appeared in a transcript</t>
        </is>
      </c>
      <c r="G42" s="13" t="inlineStr">
        <is>
          <t>2026-07-08</t>
        </is>
      </c>
    </row>
    <row r="43">
      <c r="A43" s="9" t="inlineStr">
        <is>
          <t>OPS-03</t>
        </is>
      </c>
      <c r="B43" s="9" t="inlineStr">
        <is>
          <t>Housekeeping / Risk</t>
        </is>
      </c>
      <c r="C43" s="10" t="inlineStr">
        <is>
          <t>Confirm Neon region is EU (GDPR)</t>
        </is>
      </c>
      <c r="D43" s="16" t="inlineStr">
        <is>
          <t>Outstanding</t>
        </is>
      </c>
      <c r="E43" s="18" t="inlineStr">
        <is>
          <t>Medium</t>
        </is>
      </c>
      <c r="F43" s="10" t="inlineStr"/>
      <c r="G43" s="9" t="inlineStr">
        <is>
          <t>2026-07-08</t>
        </is>
      </c>
    </row>
    <row r="44">
      <c r="A44" s="13" t="inlineStr">
        <is>
          <t>OPS-04</t>
        </is>
      </c>
      <c r="B44" s="13" t="inlineStr">
        <is>
          <t>Housekeeping / Risk</t>
        </is>
      </c>
      <c r="C44" s="14" t="inlineStr">
        <is>
          <t>Verify photo upload under OIDC Blob</t>
        </is>
      </c>
      <c r="D44" s="16" t="inlineStr">
        <is>
          <t>Outstanding</t>
        </is>
      </c>
      <c r="E44" s="18" t="inlineStr">
        <is>
          <t>Medium</t>
        </is>
      </c>
      <c r="F44" s="14" t="inlineStr">
        <is>
          <t>Or confirm BLOB_READ_WRITE_TOKEN path</t>
        </is>
      </c>
      <c r="G44" s="13" t="inlineStr">
        <is>
          <t>2026-07-08</t>
        </is>
      </c>
    </row>
    <row r="45">
      <c r="A45" s="9" t="inlineStr">
        <is>
          <t>OPS-05</t>
        </is>
      </c>
      <c r="B45" s="9" t="inlineStr">
        <is>
          <t>Housekeeping / Risk</t>
        </is>
      </c>
      <c r="C45" s="10" t="inlineStr">
        <is>
          <t>Ship web redesign (delete /screens + /icon-lab first)</t>
        </is>
      </c>
      <c r="D45" s="16" t="inlineStr">
        <is>
          <t>Outstanding</t>
        </is>
      </c>
      <c r="E45" s="18" t="inlineStr">
        <is>
          <t>Medium</t>
        </is>
      </c>
      <c r="F45" s="10" t="inlineStr"/>
      <c r="G45" s="9" t="inlineStr">
        <is>
          <t>2026-07-08</t>
        </is>
      </c>
    </row>
    <row r="46">
      <c r="A46" s="13" t="inlineStr">
        <is>
          <t>OPS-06</t>
        </is>
      </c>
      <c r="B46" s="13" t="inlineStr">
        <is>
          <t>Housekeeping / Risk</t>
        </is>
      </c>
      <c r="C46" s="14" t="inlineStr">
        <is>
          <t>Rename residual 'Nia' internals</t>
        </is>
      </c>
      <c r="D46" s="16" t="inlineStr">
        <is>
          <t>Outstanding</t>
        </is>
      </c>
      <c r="E46" s="19" t="inlineStr">
        <is>
          <t>Low</t>
        </is>
      </c>
      <c r="F46" s="14" t="inlineStr">
        <is>
          <t>@nia/* packages, create_nia_inquiry, repo dir</t>
        </is>
      </c>
      <c r="G46" s="13" t="inlineStr">
        <is>
          <t>2026-07-08</t>
        </is>
      </c>
    </row>
    <row r="47">
      <c r="A47" s="9" t="inlineStr">
        <is>
          <t>OPS-07</t>
        </is>
      </c>
      <c r="B47" s="9" t="inlineStr">
        <is>
          <t>Housekeeping / Risk</t>
        </is>
      </c>
      <c r="C47" s="10" t="inlineStr">
        <is>
          <t>Commit/clean pending working-tree changes</t>
        </is>
      </c>
      <c r="D47" s="16" t="inlineStr">
        <is>
          <t>Outstanding</t>
        </is>
      </c>
      <c r="E47" s="19" t="inlineStr">
        <is>
          <t>Low</t>
        </is>
      </c>
      <c r="F47" s="10" t="inlineStr">
        <is>
          <t>AGENTS.md tweak, fly.toml, oia-redesign.patch</t>
        </is>
      </c>
      <c r="G47" s="9" t="inlineStr">
        <is>
          <t>2026-07-08</t>
        </is>
      </c>
    </row>
    <row r="48">
      <c r="A48" t="inlineStr">
        <is>
          <t>WEB-02</t>
        </is>
      </c>
      <c r="B48" t="inlineStr">
        <is>
          <t>Web</t>
        </is>
      </c>
      <c r="C48" t="inlineStr">
        <is>
          <t>Sanctuary in-app imagery pass (surgeon/clinic/reference/results photos, central IMG map)</t>
        </is>
      </c>
      <c r="D48" t="inlineStr">
        <is>
          <t>In progress</t>
        </is>
      </c>
      <c r="E48" t="inlineStr">
        <is>
          <t>Medium</t>
        </is>
      </c>
      <c r="F48" t="inlineStr">
        <is>
          <t>Awaiting Ida review of before/after sheet; local only, not deployed</t>
        </is>
      </c>
      <c r="G48" s="20" t="n">
        <v>46211</v>
      </c>
    </row>
  </sheetData>
  <autoFilter ref="A4:G47"/>
  <mergeCells count="2">
    <mergeCell ref="A2:G2"/>
    <mergeCell ref="A1:G1"/>
  </mergeCells>
  <dataValidations count="2">
    <dataValidation sqref="D5:D47" showDropDown="0" showInputMessage="0" showErrorMessage="0" allowBlank="1" type="list">
      <formula1>"Done,In progress,Outstanding"</formula1>
    </dataValidation>
    <dataValidation sqref="E5:E4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2026-07-08T10:39:37Z</dcterms:created>
  <dcterms:modified xsi:type="dcterms:W3CDTF">2026-07-08T11:19:55Z</dcterms:modified>
</cp:coreProperties>
</file>